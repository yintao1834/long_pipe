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位置情報" sheetId="1" r:id="rId4"/>
    <sheet state="visible" name="step" sheetId="2" r:id="rId5"/>
  </sheets>
  <definedNames/>
  <calcPr/>
  <extLst>
    <ext uri="GoogleSheetsCustomDataVersion2">
      <go:sheetsCustomData xmlns:go="http://customooxmlschemas.google.com/" r:id="rId6" roundtripDataChecksum="23nGNANHBZuBnn2TIgGYaa+mz1el7U4ZlkhXDgAmn+g="/>
    </ext>
  </extLst>
</workbook>
</file>

<file path=xl/sharedStrings.xml><?xml version="1.0" encoding="utf-8"?>
<sst xmlns="http://schemas.openxmlformats.org/spreadsheetml/2006/main" count="98" uniqueCount="59">
  <si>
    <t>in</t>
  </si>
  <si>
    <t>out</t>
  </si>
  <si>
    <t>length</t>
  </si>
  <si>
    <t>length(pipe)</t>
  </si>
  <si>
    <t>angle(in)</t>
  </si>
  <si>
    <t>ch1</t>
  </si>
  <si>
    <t>ch2</t>
  </si>
  <si>
    <t>ch3</t>
  </si>
  <si>
    <t>ch4</t>
  </si>
  <si>
    <t>case1</t>
  </si>
  <si>
    <t>case2</t>
  </si>
  <si>
    <t>case3</t>
  </si>
  <si>
    <t>case4</t>
  </si>
  <si>
    <t>step</t>
  </si>
  <si>
    <t>ジャッキ①</t>
  </si>
  <si>
    <t>ジャッキ②</t>
  </si>
  <si>
    <t>変位計1</t>
  </si>
  <si>
    <t>変位計2</t>
  </si>
  <si>
    <t>変位計3</t>
  </si>
  <si>
    <t>変位計4</t>
  </si>
  <si>
    <t>変位計5</t>
  </si>
  <si>
    <t>変位計6</t>
  </si>
  <si>
    <t>変位計7</t>
  </si>
  <si>
    <t>変位計7(step7以降)</t>
  </si>
  <si>
    <t>備考</t>
  </si>
  <si>
    <t>変位計5(step2)以降</t>
  </si>
  <si>
    <t>ちょっとねじった          　         10:08</t>
  </si>
  <si>
    <t>←計測後0リセット</t>
  </si>
  <si>
    <t xml:space="preserve">                                                 9:02:(9:11)</t>
  </si>
  <si>
    <t xml:space="preserve">                                      10:09(10:12)</t>
  </si>
  <si>
    <t xml:space="preserve">                                      13:44(13:45)</t>
  </si>
  <si>
    <t xml:space="preserve">                                      10:12(10:14)</t>
  </si>
  <si>
    <t xml:space="preserve">                                      13:46(13:47)</t>
  </si>
  <si>
    <t xml:space="preserve">                                      10:15(10:17)</t>
  </si>
  <si>
    <t xml:space="preserve">                                      13:48(13:49)</t>
  </si>
  <si>
    <t xml:space="preserve">                                      10:17(10:20)</t>
  </si>
  <si>
    <t xml:space="preserve">                                      13:50(13:52)</t>
  </si>
  <si>
    <t xml:space="preserve">                                      10:21(10:23)</t>
  </si>
  <si>
    <t xml:space="preserve">                                      13:52(13:54)</t>
  </si>
  <si>
    <t>④⑤交換                              14:19(14:53)</t>
  </si>
  <si>
    <t xml:space="preserve">                                      10:23(10:26)</t>
  </si>
  <si>
    <t xml:space="preserve">                                      13:54(13:56)</t>
  </si>
  <si>
    <t xml:space="preserve">                                      10:26(10:28)</t>
  </si>
  <si>
    <t xml:space="preserve">                                      13:57(13:59)</t>
  </si>
  <si>
    <t xml:space="preserve">                                      10:29(10:31)</t>
  </si>
  <si>
    <t xml:space="preserve">                                      13:59(14:01)</t>
  </si>
  <si>
    <t xml:space="preserve">                                      10:32(10:34)</t>
  </si>
  <si>
    <t xml:space="preserve">                                      14:02(14:04)</t>
  </si>
  <si>
    <t xml:space="preserve">                                      10:35(10:37)</t>
  </si>
  <si>
    <t xml:space="preserve">                                      14:05(14:06)</t>
  </si>
  <si>
    <t xml:space="preserve">                                      10:38(10:40)</t>
  </si>
  <si>
    <t xml:space="preserve">                                      14:07(14:10)</t>
  </si>
  <si>
    <t xml:space="preserve">                                      10:41(10:42)</t>
  </si>
  <si>
    <t>レンジオーバー</t>
  </si>
  <si>
    <t xml:space="preserve">                                      10:43(10:45)</t>
  </si>
  <si>
    <t xml:space="preserve">                                      10:46(10:48)</t>
  </si>
  <si>
    <t xml:space="preserve">                                      10:49(10:54)</t>
  </si>
  <si>
    <t>ユニット交換                        15:37(16:42)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</si>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</sst>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Calibri"/>
      <scheme val="minor"/>
    </font>
    <font>
      <sz val="11.0"/>
      <color theme="1"/>
      <name val="Yu Gothic"/>
    </font>
    <font>
      <sz val="9.0"/>
      <color theme="1"/>
      <name val="Yu Gothic"/>
    </font>
    <font>
      <b/>
      <sz val="9.0"/>
      <color theme="1"/>
      <name val="Yu Gothic"/>
    </font>
  </fonts>
  <fills count="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7E6E6"/>
        <bgColor rgb="FFE7E6E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2" xfId="0" applyBorder="1" applyFont="1" applyNumberFormat="1"/>
    <xf borderId="1" fillId="0" fontId="1" numFmtId="1" xfId="0" applyBorder="1" applyFont="1" applyNumberFormat="1"/>
    <xf borderId="0" fillId="0" fontId="1" numFmtId="164" xfId="0" applyFont="1" applyNumberFormat="1"/>
    <xf borderId="0" fillId="0" fontId="2" numFmtId="0" xfId="0" applyFont="1"/>
    <xf borderId="0" fillId="0" fontId="2" numFmtId="0" xfId="0" applyAlignment="1" applyFont="1">
      <alignment horizontal="right"/>
    </xf>
    <xf borderId="2" fillId="0" fontId="3" numFmtId="0" xfId="0" applyAlignment="1" applyBorder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right" vertical="center"/>
    </xf>
    <xf borderId="0" fillId="0" fontId="3" numFmtId="0" xfId="0" applyAlignment="1" applyFont="1">
      <alignment horizontal="center" vertical="center"/>
    </xf>
    <xf borderId="1" fillId="0" fontId="2" numFmtId="0" xfId="0" applyAlignment="1" applyBorder="1" applyFont="1">
      <alignment horizontal="right"/>
    </xf>
    <xf borderId="1" fillId="0" fontId="2" numFmtId="0" xfId="0" applyBorder="1" applyFont="1"/>
    <xf borderId="1" fillId="4" fontId="2" numFmtId="0" xfId="0" applyBorder="1" applyFill="1" applyFont="1"/>
    <xf borderId="3" fillId="0" fontId="2" numFmtId="0" xfId="0" applyAlignment="1" applyBorder="1" applyFont="1">
      <alignment horizontal="right"/>
    </xf>
    <xf borderId="3" fillId="0" fontId="2" numFmtId="20" xfId="0" applyAlignment="1" applyBorder="1" applyFont="1" applyNumberFormat="1">
      <alignment horizontal="right"/>
    </xf>
    <xf borderId="3" fillId="0" fontId="2" numFmtId="0" xfId="0" applyBorder="1" applyFont="1"/>
    <xf borderId="1" fillId="0" fontId="2" numFmtId="20" xfId="0" applyAlignment="1" applyBorder="1" applyFont="1" applyNumberFormat="1">
      <alignment horizontal="right"/>
    </xf>
    <xf borderId="1" fillId="0" fontId="2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case1</a:t>
            </a:r>
          </a:p>
        </c:rich>
      </c:tx>
      <c:layout>
        <c:manualLayout>
          <c:xMode val="edge"/>
          <c:yMode val="edge"/>
          <c:x val="0.48616385761697145"/>
          <c:y val="0.027777777777777776"/>
        </c:manualLayout>
      </c:layout>
      <c:overlay val="0"/>
    </c:title>
    <c:plotArea>
      <c:layout>
        <c:manualLayout>
          <c:xMode val="edge"/>
          <c:yMode val="edge"/>
          <c:x val="0.136912214485586"/>
          <c:y val="0.13467592592592595"/>
          <c:w val="0.8202227717403093"/>
          <c:h val="0.6597532079323418"/>
        </c:manualLayout>
      </c:layout>
      <c:scatterChart>
        <c:scatterStyle val="lineMarker"/>
        <c:ser>
          <c:idx val="0"/>
          <c:order val="0"/>
          <c:tx>
            <c:v>ジャッキ①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step!$B$4:$B$28</c:f>
            </c:numRef>
          </c:xVal>
          <c:yVal>
            <c:numRef>
              <c:f>step!$C$4:$C$28</c:f>
              <c:numCache/>
            </c:numRef>
          </c:yVal>
        </c:ser>
        <c:ser>
          <c:idx val="1"/>
          <c:order val="1"/>
          <c:tx>
            <c:v>ジャッキ②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12"/>
            <c:marker>
              <c:symbol val="none"/>
            </c:marker>
          </c:dPt>
          <c:xVal>
            <c:numRef>
              <c:f>step!$B$4:$B$28</c:f>
            </c:numRef>
          </c:xVal>
          <c:yVal>
            <c:numRef>
              <c:f>step!$D$4:$D$28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726413"/>
        <c:axId val="171607143"/>
      </c:scatterChart>
      <c:valAx>
        <c:axId val="365726413"/>
        <c:scaling>
          <c:orientation val="minMax"/>
          <c:max val="2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step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607143"/>
      </c:valAx>
      <c:valAx>
        <c:axId val="171607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変位量(mm)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5726413"/>
      </c:valAx>
    </c:plotArea>
    <c:legend>
      <c:legendPos val="r"/>
      <c:layout>
        <c:manualLayout>
          <c:xMode val="edge"/>
          <c:yMode val="edge"/>
          <c:x val="0.71900826446281"/>
          <c:y val="0.18597149314668995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case2</a:t>
            </a:r>
          </a:p>
        </c:rich>
      </c:tx>
      <c:layout>
        <c:manualLayout>
          <c:xMode val="edge"/>
          <c:yMode val="edge"/>
          <c:x val="0.48616385761697145"/>
          <c:y val="0.027777777777777776"/>
        </c:manualLayout>
      </c:layout>
      <c:overlay val="0"/>
    </c:title>
    <c:plotArea>
      <c:layout>
        <c:manualLayout>
          <c:xMode val="edge"/>
          <c:yMode val="edge"/>
          <c:x val="0.136912214485586"/>
          <c:y val="0.13467592592592595"/>
          <c:w val="0.8202227717403093"/>
          <c:h val="0.6597532079323418"/>
        </c:manualLayout>
      </c:layout>
      <c:scatterChart>
        <c:scatterStyle val="lineMarker"/>
        <c:ser>
          <c:idx val="0"/>
          <c:order val="0"/>
          <c:tx>
            <c:v>ジャッキ①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step!$P$4:$P$28</c:f>
            </c:numRef>
          </c:xVal>
          <c:yVal>
            <c:numRef>
              <c:f>step!$Q$4:$Q$28</c:f>
              <c:numCache/>
            </c:numRef>
          </c:yVal>
        </c:ser>
        <c:ser>
          <c:idx val="1"/>
          <c:order val="1"/>
          <c:tx>
            <c:v>ジャッキ②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9"/>
            <c:marker>
              <c:symbol val="none"/>
            </c:marker>
          </c:dPt>
          <c:xVal>
            <c:numRef>
              <c:f>step!$P$4:$P$28</c:f>
            </c:numRef>
          </c:xVal>
          <c:yVal>
            <c:numRef>
              <c:f>step!$R$4:$R$28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685908"/>
        <c:axId val="1529000151"/>
      </c:scatterChart>
      <c:valAx>
        <c:axId val="1758685908"/>
        <c:scaling>
          <c:orientation val="minMax"/>
          <c:max val="2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step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9000151"/>
      </c:valAx>
      <c:valAx>
        <c:axId val="1529000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変位量(mm)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58685908"/>
      </c:valAx>
    </c:plotArea>
    <c:legend>
      <c:legendPos val="r"/>
      <c:layout>
        <c:manualLayout>
          <c:xMode val="edge"/>
          <c:yMode val="edge"/>
          <c:x val="0.71900826446281"/>
          <c:y val="0.18597149314668995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case3</a:t>
            </a:r>
          </a:p>
        </c:rich>
      </c:tx>
      <c:layout>
        <c:manualLayout>
          <c:xMode val="edge"/>
          <c:yMode val="edge"/>
          <c:x val="0.48616385761697145"/>
          <c:y val="0.027777777777777776"/>
        </c:manualLayout>
      </c:layout>
      <c:overlay val="0"/>
    </c:title>
    <c:plotArea>
      <c:layout>
        <c:manualLayout>
          <c:xMode val="edge"/>
          <c:yMode val="edge"/>
          <c:x val="0.136912214485586"/>
          <c:y val="0.13467592592592595"/>
          <c:w val="0.8202227717403093"/>
          <c:h val="0.6597532079323418"/>
        </c:manualLayout>
      </c:layout>
      <c:scatterChart>
        <c:scatterStyle val="lineMarker"/>
        <c:ser>
          <c:idx val="0"/>
          <c:order val="0"/>
          <c:tx>
            <c:v>ジャッキ①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8"/>
            <c:marker>
              <c:symbol val="none"/>
            </c:marker>
          </c:dPt>
          <c:xVal>
            <c:numRef>
              <c:f>step!$AD$4:$AD$28</c:f>
            </c:numRef>
          </c:xVal>
          <c:yVal>
            <c:numRef>
              <c:f>step!$AE$4:$AE$28</c:f>
              <c:numCache/>
            </c:numRef>
          </c:yVal>
        </c:ser>
        <c:ser>
          <c:idx val="1"/>
          <c:order val="1"/>
          <c:tx>
            <c:v>ジャッキ②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8"/>
            <c:marker>
              <c:symbol val="none"/>
            </c:marker>
          </c:dPt>
          <c:xVal>
            <c:numRef>
              <c:f>step!$AD$4:$AD$28</c:f>
            </c:numRef>
          </c:xVal>
          <c:yVal>
            <c:numRef>
              <c:f>step!$AF$4:$AF$28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756941"/>
        <c:axId val="400687011"/>
      </c:scatterChart>
      <c:valAx>
        <c:axId val="1234756941"/>
        <c:scaling>
          <c:orientation val="minMax"/>
          <c:max val="2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step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0687011"/>
      </c:valAx>
      <c:valAx>
        <c:axId val="400687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変位量(mm)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4756941"/>
      </c:valAx>
    </c:plotArea>
    <c:legend>
      <c:legendPos val="r"/>
      <c:layout>
        <c:manualLayout>
          <c:xMode val="edge"/>
          <c:yMode val="edge"/>
          <c:x val="0.71900826446281"/>
          <c:y val="0.18597149314668995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case4</a:t>
            </a:r>
          </a:p>
        </c:rich>
      </c:tx>
      <c:layout>
        <c:manualLayout>
          <c:xMode val="edge"/>
          <c:yMode val="edge"/>
          <c:x val="0.48616385761697145"/>
          <c:y val="0.027777777777777776"/>
        </c:manualLayout>
      </c:layout>
      <c:overlay val="0"/>
    </c:title>
    <c:plotArea>
      <c:layout>
        <c:manualLayout>
          <c:xMode val="edge"/>
          <c:yMode val="edge"/>
          <c:x val="0.136912214485586"/>
          <c:y val="0.13467592592592595"/>
          <c:w val="0.8202227717403093"/>
          <c:h val="0.6597532079323418"/>
        </c:manualLayout>
      </c:layout>
      <c:scatterChart>
        <c:scatterStyle val="lineMarker"/>
        <c:varyColors val="0"/>
        <c:ser>
          <c:idx val="0"/>
          <c:order val="0"/>
          <c:tx>
            <c:v>ジャッキ①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step!$AQ$4:$AQ$28</c:f>
            </c:numRef>
          </c:xVal>
          <c:yVal>
            <c:numRef>
              <c:f>step!$AR$4:$AR$28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835070"/>
        <c:axId val="83018486"/>
      </c:scatterChart>
      <c:valAx>
        <c:axId val="401835070"/>
        <c:scaling>
          <c:orientation val="minMax"/>
          <c:max val="1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step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018486"/>
        <c:majorUnit val="5.0"/>
      </c:valAx>
      <c:valAx>
        <c:axId val="83018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変位量(mm)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1835070"/>
      </c:valAx>
    </c:plotArea>
    <c:legend>
      <c:legendPos val="r"/>
      <c:layout>
        <c:manualLayout>
          <c:xMode val="edge"/>
          <c:yMode val="edge"/>
          <c:x val="0.71900826446281"/>
          <c:y val="0.3341196412948381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571500</xdr:colOff>
      <xdr:row>6</xdr:row>
      <xdr:rowOff>123825</xdr:rowOff>
    </xdr:from>
    <xdr:ext cx="7972425" cy="276225"/>
    <xdr:grpSp>
      <xdr:nvGrpSpPr>
        <xdr:cNvPr id="2" name="Shape 2"/>
        <xdr:cNvGrpSpPr/>
      </xdr:nvGrpSpPr>
      <xdr:grpSpPr>
        <a:xfrm>
          <a:off x="1359788" y="3641888"/>
          <a:ext cx="7972425" cy="276225"/>
          <a:chOff x="1359788" y="3641888"/>
          <a:chExt cx="7972425" cy="276225"/>
        </a:xfrm>
      </xdr:grpSpPr>
      <xdr:grpSp>
        <xdr:nvGrpSpPr>
          <xdr:cNvPr id="3" name="Shape 3"/>
          <xdr:cNvGrpSpPr/>
        </xdr:nvGrpSpPr>
        <xdr:grpSpPr>
          <a:xfrm>
            <a:off x="1359788" y="3641888"/>
            <a:ext cx="7972425" cy="276225"/>
            <a:chOff x="993174" y="2529238"/>
            <a:chExt cx="9081704" cy="288929"/>
          </a:xfrm>
        </xdr:grpSpPr>
        <xdr:sp>
          <xdr:nvSpPr>
            <xdr:cNvPr id="4" name="Shape 4"/>
            <xdr:cNvSpPr/>
          </xdr:nvSpPr>
          <xdr:spPr>
            <a:xfrm>
              <a:off x="993174" y="2529238"/>
              <a:ext cx="9081700" cy="288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 rot="5400000">
              <a:off x="5390807" y="-1865903"/>
              <a:ext cx="286437" cy="9081704"/>
            </a:xfrm>
            <a:prstGeom prst="can">
              <a:avLst>
                <a:gd fmla="val 25000" name="adj"/>
              </a:avLst>
            </a:prstGeom>
            <a:solidFill>
              <a:srgbClr val="99FF66">
                <a:alpha val="50196"/>
              </a:srgbClr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cxnSp>
          <xdr:nvCxnSpPr>
            <xdr:cNvPr id="6" name="Shape 6"/>
            <xdr:cNvCxnSpPr/>
          </xdr:nvCxnSpPr>
          <xdr:spPr>
            <a:xfrm>
              <a:off x="1122255" y="2534373"/>
              <a:ext cx="391969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7" name="Shape 7"/>
            <xdr:cNvCxnSpPr/>
          </xdr:nvCxnSpPr>
          <xdr:spPr>
            <a:xfrm>
              <a:off x="2053877" y="2534373"/>
              <a:ext cx="376664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8" name="Shape 8"/>
            <xdr:cNvCxnSpPr/>
          </xdr:nvCxnSpPr>
          <xdr:spPr>
            <a:xfrm>
              <a:off x="2993114" y="2534373"/>
              <a:ext cx="386223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9" name="Shape 9"/>
            <xdr:cNvCxnSpPr/>
          </xdr:nvCxnSpPr>
          <xdr:spPr>
            <a:xfrm>
              <a:off x="1352735" y="2534373"/>
              <a:ext cx="405429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0" name="Shape 10"/>
            <xdr:cNvCxnSpPr/>
          </xdr:nvCxnSpPr>
          <xdr:spPr>
            <a:xfrm>
              <a:off x="1592834" y="2530464"/>
              <a:ext cx="393940" cy="281327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1" name="Shape 11"/>
            <xdr:cNvCxnSpPr/>
          </xdr:nvCxnSpPr>
          <xdr:spPr>
            <a:xfrm>
              <a:off x="1825284" y="2534373"/>
              <a:ext cx="390082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2" name="Shape 12"/>
            <xdr:cNvCxnSpPr/>
          </xdr:nvCxnSpPr>
          <xdr:spPr>
            <a:xfrm>
              <a:off x="2274813" y="2530464"/>
              <a:ext cx="395801" cy="281327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3" name="Shape 13"/>
            <xdr:cNvCxnSpPr/>
          </xdr:nvCxnSpPr>
          <xdr:spPr>
            <a:xfrm>
              <a:off x="2509125" y="2534373"/>
              <a:ext cx="397730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4" name="Shape 14"/>
            <xdr:cNvCxnSpPr/>
          </xdr:nvCxnSpPr>
          <xdr:spPr>
            <a:xfrm>
              <a:off x="2745366" y="2530464"/>
              <a:ext cx="403475" cy="281327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5" name="Shape 15"/>
            <xdr:cNvCxnSpPr/>
          </xdr:nvCxnSpPr>
          <xdr:spPr>
            <a:xfrm>
              <a:off x="9783205" y="2529238"/>
              <a:ext cx="229875" cy="151610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6" name="Shape 16"/>
            <xdr:cNvCxnSpPr/>
          </xdr:nvCxnSpPr>
          <xdr:spPr>
            <a:xfrm>
              <a:off x="999232" y="2612279"/>
              <a:ext cx="286433" cy="189788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7" name="Shape 17"/>
            <xdr:cNvCxnSpPr/>
          </xdr:nvCxnSpPr>
          <xdr:spPr>
            <a:xfrm>
              <a:off x="3688494" y="2538250"/>
              <a:ext cx="380505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8" name="Shape 18"/>
            <xdr:cNvCxnSpPr/>
          </xdr:nvCxnSpPr>
          <xdr:spPr>
            <a:xfrm>
              <a:off x="4856340" y="2538250"/>
              <a:ext cx="384303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9" name="Shape 19"/>
            <xdr:cNvCxnSpPr/>
          </xdr:nvCxnSpPr>
          <xdr:spPr>
            <a:xfrm>
              <a:off x="3217848" y="2532404"/>
              <a:ext cx="395860" cy="275512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0" name="Shape 20"/>
            <xdr:cNvCxnSpPr/>
          </xdr:nvCxnSpPr>
          <xdr:spPr>
            <a:xfrm>
              <a:off x="3454140" y="2538250"/>
              <a:ext cx="395843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1" name="Shape 21"/>
            <xdr:cNvCxnSpPr/>
          </xdr:nvCxnSpPr>
          <xdr:spPr>
            <a:xfrm>
              <a:off x="3907510" y="2532404"/>
              <a:ext cx="397721" cy="275512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2" name="Shape 22"/>
            <xdr:cNvCxnSpPr/>
          </xdr:nvCxnSpPr>
          <xdr:spPr>
            <a:xfrm>
              <a:off x="4145663" y="2538250"/>
              <a:ext cx="388128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3" name="Shape 23"/>
            <xdr:cNvCxnSpPr/>
          </xdr:nvCxnSpPr>
          <xdr:spPr>
            <a:xfrm>
              <a:off x="4372301" y="2532404"/>
              <a:ext cx="416919" cy="275512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4" name="Shape 24"/>
            <xdr:cNvCxnSpPr/>
          </xdr:nvCxnSpPr>
          <xdr:spPr>
            <a:xfrm>
              <a:off x="5317349" y="2542127"/>
              <a:ext cx="388187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5" name="Shape 25"/>
            <xdr:cNvCxnSpPr/>
          </xdr:nvCxnSpPr>
          <xdr:spPr>
            <a:xfrm>
              <a:off x="6270030" y="2542127"/>
              <a:ext cx="388144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6" name="Shape 26"/>
            <xdr:cNvCxnSpPr/>
          </xdr:nvCxnSpPr>
          <xdr:spPr>
            <a:xfrm>
              <a:off x="4627731" y="2534342"/>
              <a:ext cx="388178" cy="277450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7" name="Shape 27"/>
            <xdr:cNvCxnSpPr/>
          </xdr:nvCxnSpPr>
          <xdr:spPr>
            <a:xfrm>
              <a:off x="5079154" y="2542127"/>
              <a:ext cx="397764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8" name="Shape 28"/>
            <xdr:cNvCxnSpPr/>
          </xdr:nvCxnSpPr>
          <xdr:spPr>
            <a:xfrm>
              <a:off x="5540206" y="2534342"/>
              <a:ext cx="405404" cy="277450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9" name="Shape 29"/>
            <xdr:cNvCxnSpPr/>
          </xdr:nvCxnSpPr>
          <xdr:spPr>
            <a:xfrm>
              <a:off x="5784121" y="2542127"/>
              <a:ext cx="390048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30" name="Shape 30"/>
            <xdr:cNvCxnSpPr/>
          </xdr:nvCxnSpPr>
          <xdr:spPr>
            <a:xfrm>
              <a:off x="6022283" y="2534342"/>
              <a:ext cx="403475" cy="277450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31" name="Shape 31"/>
            <xdr:cNvCxnSpPr/>
          </xdr:nvCxnSpPr>
          <xdr:spPr>
            <a:xfrm>
              <a:off x="8382975" y="2538251"/>
              <a:ext cx="378585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32" name="Shape 32"/>
            <xdr:cNvCxnSpPr/>
          </xdr:nvCxnSpPr>
          <xdr:spPr>
            <a:xfrm>
              <a:off x="9558469" y="2538251"/>
              <a:ext cx="380462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33" name="Shape 33"/>
            <xdr:cNvCxnSpPr/>
          </xdr:nvCxnSpPr>
          <xdr:spPr>
            <a:xfrm>
              <a:off x="7434102" y="2538220"/>
              <a:ext cx="380496" cy="269696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34" name="Shape 34"/>
            <xdr:cNvCxnSpPr/>
          </xdr:nvCxnSpPr>
          <xdr:spPr>
            <a:xfrm>
              <a:off x="7885509" y="2538251"/>
              <a:ext cx="395843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35" name="Shape 35"/>
            <xdr:cNvCxnSpPr/>
          </xdr:nvCxnSpPr>
          <xdr:spPr>
            <a:xfrm>
              <a:off x="8824805" y="2538220"/>
              <a:ext cx="401562" cy="269696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36" name="Shape 36"/>
            <xdr:cNvCxnSpPr/>
          </xdr:nvCxnSpPr>
          <xdr:spPr>
            <a:xfrm>
              <a:off x="9074481" y="2538251"/>
              <a:ext cx="386207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37" name="Shape 37"/>
            <xdr:cNvCxnSpPr/>
          </xdr:nvCxnSpPr>
          <xdr:spPr>
            <a:xfrm>
              <a:off x="9308802" y="2538220"/>
              <a:ext cx="411157" cy="269696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38" name="Shape 38"/>
            <xdr:cNvCxnSpPr/>
          </xdr:nvCxnSpPr>
          <xdr:spPr>
            <a:xfrm>
              <a:off x="6961569" y="2542128"/>
              <a:ext cx="388187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39" name="Shape 39"/>
            <xdr:cNvCxnSpPr/>
          </xdr:nvCxnSpPr>
          <xdr:spPr>
            <a:xfrm>
              <a:off x="8601991" y="2542128"/>
              <a:ext cx="384303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40" name="Shape 40"/>
            <xdr:cNvCxnSpPr/>
          </xdr:nvCxnSpPr>
          <xdr:spPr>
            <a:xfrm>
              <a:off x="6498605" y="2542097"/>
              <a:ext cx="390099" cy="269696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41" name="Shape 41"/>
            <xdr:cNvCxnSpPr/>
          </xdr:nvCxnSpPr>
          <xdr:spPr>
            <a:xfrm>
              <a:off x="6729135" y="2542128"/>
              <a:ext cx="397764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42" name="Shape 42"/>
            <xdr:cNvCxnSpPr/>
          </xdr:nvCxnSpPr>
          <xdr:spPr>
            <a:xfrm>
              <a:off x="7190188" y="2542097"/>
              <a:ext cx="405404" cy="269696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43" name="Shape 43"/>
            <xdr:cNvCxnSpPr/>
          </xdr:nvCxnSpPr>
          <xdr:spPr>
            <a:xfrm>
              <a:off x="7656950" y="2542128"/>
              <a:ext cx="390048" cy="269633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44" name="Shape 44"/>
            <xdr:cNvCxnSpPr/>
          </xdr:nvCxnSpPr>
          <xdr:spPr>
            <a:xfrm>
              <a:off x="8121784" y="2542097"/>
              <a:ext cx="416919" cy="269696"/>
            </a:xfrm>
            <a:prstGeom prst="straightConnector1">
              <a:avLst/>
            </a:prstGeom>
            <a:noFill/>
            <a:ln cap="flat" cmpd="sng" w="12700">
              <a:solidFill>
                <a:srgbClr val="FFC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9</xdr:col>
      <xdr:colOff>66675</xdr:colOff>
      <xdr:row>6</xdr:row>
      <xdr:rowOff>38100</xdr:rowOff>
    </xdr:from>
    <xdr:ext cx="390525" cy="638175"/>
    <xdr:sp>
      <xdr:nvSpPr>
        <xdr:cNvPr id="45" name="Shape 45"/>
        <xdr:cNvSpPr/>
      </xdr:nvSpPr>
      <xdr:spPr>
        <a:xfrm>
          <a:off x="5155500" y="3465675"/>
          <a:ext cx="381000" cy="628650"/>
        </a:xfrm>
        <a:prstGeom prst="rect">
          <a:avLst/>
        </a:prstGeom>
        <a:gradFill>
          <a:gsLst>
            <a:gs pos="0">
              <a:srgbClr val="A5A5A5"/>
            </a:gs>
            <a:gs pos="50000">
              <a:srgbClr val="F2F2F2"/>
            </a:gs>
            <a:gs pos="100000">
              <a:srgbClr val="7F7F7F"/>
            </a:gs>
          </a:gsLst>
          <a:lin ang="54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504825</xdr:colOff>
      <xdr:row>6</xdr:row>
      <xdr:rowOff>38100</xdr:rowOff>
    </xdr:from>
    <xdr:ext cx="314325" cy="638175"/>
    <xdr:sp>
      <xdr:nvSpPr>
        <xdr:cNvPr id="46" name="Shape 46"/>
        <xdr:cNvSpPr/>
      </xdr:nvSpPr>
      <xdr:spPr>
        <a:xfrm>
          <a:off x="5193600" y="3465675"/>
          <a:ext cx="304800" cy="628650"/>
        </a:xfrm>
        <a:prstGeom prst="rect">
          <a:avLst/>
        </a:prstGeom>
        <a:gradFill>
          <a:gsLst>
            <a:gs pos="0">
              <a:srgbClr val="A5A5A5"/>
            </a:gs>
            <a:gs pos="50000">
              <a:srgbClr val="F2F2F2"/>
            </a:gs>
            <a:gs pos="100000">
              <a:srgbClr val="7F7F7F"/>
            </a:gs>
          </a:gsLst>
          <a:lin ang="54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266700</xdr:colOff>
      <xdr:row>7</xdr:row>
      <xdr:rowOff>171450</xdr:rowOff>
    </xdr:from>
    <xdr:ext cx="314325" cy="276225"/>
    <xdr:sp>
      <xdr:nvSpPr>
        <xdr:cNvPr id="47" name="Shape 47"/>
        <xdr:cNvSpPr/>
      </xdr:nvSpPr>
      <xdr:spPr>
        <a:xfrm>
          <a:off x="5193600" y="3646650"/>
          <a:ext cx="304800" cy="266700"/>
        </a:xfrm>
        <a:prstGeom prst="rect">
          <a:avLst/>
        </a:prstGeom>
        <a:gradFill>
          <a:gsLst>
            <a:gs pos="0">
              <a:srgbClr val="A5A5A5"/>
            </a:gs>
            <a:gs pos="50000">
              <a:srgbClr val="F2F2F2"/>
            </a:gs>
            <a:gs pos="100000">
              <a:srgbClr val="7F7F7F"/>
            </a:gs>
          </a:gsLst>
          <a:lin ang="54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561975</xdr:colOff>
      <xdr:row>14</xdr:row>
      <xdr:rowOff>85725</xdr:rowOff>
    </xdr:from>
    <xdr:ext cx="7991475" cy="38100"/>
    <xdr:grpSp>
      <xdr:nvGrpSpPr>
        <xdr:cNvPr id="2" name="Shape 2"/>
        <xdr:cNvGrpSpPr/>
      </xdr:nvGrpSpPr>
      <xdr:grpSpPr>
        <a:xfrm>
          <a:off x="1350263" y="3780000"/>
          <a:ext cx="7991475" cy="0"/>
          <a:chOff x="1350263" y="3780000"/>
          <a:chExt cx="7991475" cy="0"/>
        </a:xfrm>
      </xdr:grpSpPr>
      <xdr:cxnSp>
        <xdr:nvCxnSpPr>
          <xdr:cNvPr id="48" name="Shape 48"/>
          <xdr:cNvCxnSpPr/>
        </xdr:nvCxnSpPr>
        <xdr:spPr>
          <a:xfrm>
            <a:off x="1350263" y="3780000"/>
            <a:ext cx="7991475" cy="0"/>
          </a:xfrm>
          <a:prstGeom prst="straightConnector1">
            <a:avLst/>
          </a:prstGeom>
          <a:noFill/>
          <a:ln cap="flat" cmpd="sng" w="12700">
            <a:solidFill>
              <a:srgbClr val="3F3F3F"/>
            </a:solidFill>
            <a:prstDash val="solid"/>
            <a:miter lim="800000"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14</xdr:col>
      <xdr:colOff>123825</xdr:colOff>
      <xdr:row>14</xdr:row>
      <xdr:rowOff>57150</xdr:rowOff>
    </xdr:from>
    <xdr:ext cx="1752600" cy="285750"/>
    <xdr:sp>
      <xdr:nvSpPr>
        <xdr:cNvPr id="49" name="Shape 49"/>
        <xdr:cNvSpPr txBox="1"/>
      </xdr:nvSpPr>
      <xdr:spPr>
        <a:xfrm>
          <a:off x="4474463" y="3641888"/>
          <a:ext cx="174307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パイプ長L=12m</a:t>
          </a:r>
          <a:endParaRPr sz="1200"/>
        </a:p>
      </xdr:txBody>
    </xdr:sp>
    <xdr:clientData fLocksWithSheet="0"/>
  </xdr:oneCellAnchor>
  <xdr:oneCellAnchor>
    <xdr:from>
      <xdr:col>8</xdr:col>
      <xdr:colOff>542925</xdr:colOff>
      <xdr:row>7</xdr:row>
      <xdr:rowOff>19050</xdr:rowOff>
    </xdr:from>
    <xdr:ext cx="38100" cy="1762125"/>
    <xdr:grpSp>
      <xdr:nvGrpSpPr>
        <xdr:cNvPr id="2" name="Shape 2"/>
        <xdr:cNvGrpSpPr/>
      </xdr:nvGrpSpPr>
      <xdr:grpSpPr>
        <a:xfrm>
          <a:off x="5346000" y="2898938"/>
          <a:ext cx="0" cy="1762125"/>
          <a:chOff x="5346000" y="2898938"/>
          <a:chExt cx="0" cy="1762125"/>
        </a:xfrm>
      </xdr:grpSpPr>
      <xdr:cxnSp>
        <xdr:nvCxnSpPr>
          <xdr:cNvPr id="50" name="Shape 50"/>
          <xdr:cNvCxnSpPr/>
        </xdr:nvCxnSpPr>
        <xdr:spPr>
          <a:xfrm>
            <a:off x="5346000" y="2898938"/>
            <a:ext cx="0" cy="1762125"/>
          </a:xfrm>
          <a:prstGeom prst="straightConnector1">
            <a:avLst/>
          </a:prstGeom>
          <a:noFill/>
          <a:ln cap="flat" cmpd="sng" w="9525">
            <a:solidFill>
              <a:srgbClr val="3F3F3F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22</xdr:col>
      <xdr:colOff>371475</xdr:colOff>
      <xdr:row>7</xdr:row>
      <xdr:rowOff>19050</xdr:rowOff>
    </xdr:from>
    <xdr:ext cx="38100" cy="1762125"/>
    <xdr:grpSp>
      <xdr:nvGrpSpPr>
        <xdr:cNvPr id="2" name="Shape 2"/>
        <xdr:cNvGrpSpPr/>
      </xdr:nvGrpSpPr>
      <xdr:grpSpPr>
        <a:xfrm>
          <a:off x="5346000" y="2898938"/>
          <a:ext cx="0" cy="1762125"/>
          <a:chOff x="5346000" y="2898938"/>
          <a:chExt cx="0" cy="1762125"/>
        </a:xfrm>
      </xdr:grpSpPr>
      <xdr:cxnSp>
        <xdr:nvCxnSpPr>
          <xdr:cNvPr id="50" name="Shape 50"/>
          <xdr:cNvCxnSpPr/>
        </xdr:nvCxnSpPr>
        <xdr:spPr>
          <a:xfrm>
            <a:off x="5346000" y="2898938"/>
            <a:ext cx="0" cy="1762125"/>
          </a:xfrm>
          <a:prstGeom prst="straightConnector1">
            <a:avLst/>
          </a:prstGeom>
          <a:noFill/>
          <a:ln cap="flat" cmpd="sng" w="9525">
            <a:solidFill>
              <a:srgbClr val="3F3F3F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21</xdr:col>
      <xdr:colOff>495300</xdr:colOff>
      <xdr:row>8</xdr:row>
      <xdr:rowOff>219075</xdr:rowOff>
    </xdr:from>
    <xdr:ext cx="38100" cy="933450"/>
    <xdr:grpSp>
      <xdr:nvGrpSpPr>
        <xdr:cNvPr id="2" name="Shape 2"/>
        <xdr:cNvGrpSpPr/>
      </xdr:nvGrpSpPr>
      <xdr:grpSpPr>
        <a:xfrm>
          <a:off x="5346000" y="3313275"/>
          <a:ext cx="0" cy="933450"/>
          <a:chOff x="5346000" y="3313275"/>
          <a:chExt cx="0" cy="933450"/>
        </a:xfrm>
      </xdr:grpSpPr>
      <xdr:cxnSp>
        <xdr:nvCxnSpPr>
          <xdr:cNvPr id="51" name="Shape 51"/>
          <xdr:cNvCxnSpPr/>
        </xdr:nvCxnSpPr>
        <xdr:spPr>
          <a:xfrm>
            <a:off x="5346000" y="3313275"/>
            <a:ext cx="0" cy="933450"/>
          </a:xfrm>
          <a:prstGeom prst="straightConnector1">
            <a:avLst/>
          </a:prstGeom>
          <a:noFill/>
          <a:ln cap="flat" cmpd="sng" w="9525">
            <a:solidFill>
              <a:srgbClr val="3F3F3F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419100</xdr:colOff>
      <xdr:row>8</xdr:row>
      <xdr:rowOff>219075</xdr:rowOff>
    </xdr:from>
    <xdr:ext cx="38100" cy="933450"/>
    <xdr:grpSp>
      <xdr:nvGrpSpPr>
        <xdr:cNvPr id="2" name="Shape 2"/>
        <xdr:cNvGrpSpPr/>
      </xdr:nvGrpSpPr>
      <xdr:grpSpPr>
        <a:xfrm>
          <a:off x="5346000" y="3313275"/>
          <a:ext cx="0" cy="933450"/>
          <a:chOff x="5346000" y="3313275"/>
          <a:chExt cx="0" cy="933450"/>
        </a:xfrm>
      </xdr:grpSpPr>
      <xdr:cxnSp>
        <xdr:nvCxnSpPr>
          <xdr:cNvPr id="52" name="Shape 52"/>
          <xdr:cNvCxnSpPr/>
        </xdr:nvCxnSpPr>
        <xdr:spPr>
          <a:xfrm>
            <a:off x="5346000" y="3313275"/>
            <a:ext cx="0" cy="933450"/>
          </a:xfrm>
          <a:prstGeom prst="straightConnector1">
            <a:avLst/>
          </a:prstGeom>
          <a:noFill/>
          <a:ln cap="flat" cmpd="sng" w="9525">
            <a:solidFill>
              <a:srgbClr val="3F3F3F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457200</xdr:colOff>
      <xdr:row>12</xdr:row>
      <xdr:rowOff>85725</xdr:rowOff>
    </xdr:from>
    <xdr:ext cx="7019925" cy="38100"/>
    <xdr:grpSp>
      <xdr:nvGrpSpPr>
        <xdr:cNvPr id="2" name="Shape 2"/>
        <xdr:cNvGrpSpPr/>
      </xdr:nvGrpSpPr>
      <xdr:grpSpPr>
        <a:xfrm>
          <a:off x="1836038" y="3780000"/>
          <a:ext cx="7019925" cy="0"/>
          <a:chOff x="1836038" y="3780000"/>
          <a:chExt cx="7019925" cy="0"/>
        </a:xfrm>
      </xdr:grpSpPr>
      <xdr:cxnSp>
        <xdr:nvCxnSpPr>
          <xdr:cNvPr id="53" name="Shape 53"/>
          <xdr:cNvCxnSpPr/>
        </xdr:nvCxnSpPr>
        <xdr:spPr>
          <a:xfrm>
            <a:off x="1836038" y="3780000"/>
            <a:ext cx="7019925" cy="0"/>
          </a:xfrm>
          <a:prstGeom prst="straightConnector1">
            <a:avLst/>
          </a:prstGeom>
          <a:noFill/>
          <a:ln cap="flat" cmpd="sng" w="12700">
            <a:solidFill>
              <a:srgbClr val="3F3F3F"/>
            </a:solidFill>
            <a:prstDash val="solid"/>
            <a:miter lim="800000"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14</xdr:col>
      <xdr:colOff>123825</xdr:colOff>
      <xdr:row>12</xdr:row>
      <xdr:rowOff>57150</xdr:rowOff>
    </xdr:from>
    <xdr:ext cx="1752600" cy="285750"/>
    <xdr:sp>
      <xdr:nvSpPr>
        <xdr:cNvPr id="54" name="Shape 54"/>
        <xdr:cNvSpPr txBox="1"/>
      </xdr:nvSpPr>
      <xdr:spPr>
        <a:xfrm>
          <a:off x="4474463" y="3641888"/>
          <a:ext cx="174307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支点間隔L=10m</a:t>
          </a:r>
          <a:endParaRPr sz="1200"/>
        </a:p>
      </xdr:txBody>
    </xdr:sp>
    <xdr:clientData fLocksWithSheet="0"/>
  </xdr:oneCellAnchor>
  <xdr:oneCellAnchor>
    <xdr:from>
      <xdr:col>11</xdr:col>
      <xdr:colOff>104775</xdr:colOff>
      <xdr:row>9</xdr:row>
      <xdr:rowOff>0</xdr:rowOff>
    </xdr:from>
    <xdr:ext cx="1752600" cy="276225"/>
    <xdr:sp>
      <xdr:nvSpPr>
        <xdr:cNvPr id="55" name="Shape 55"/>
        <xdr:cNvSpPr txBox="1"/>
      </xdr:nvSpPr>
      <xdr:spPr>
        <a:xfrm>
          <a:off x="4474463" y="3646650"/>
          <a:ext cx="174307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載荷点①</a:t>
          </a:r>
          <a:endParaRPr sz="1200"/>
        </a:p>
      </xdr:txBody>
    </xdr:sp>
    <xdr:clientData fLocksWithSheet="0"/>
  </xdr:oneCellAnchor>
  <xdr:oneCellAnchor>
    <xdr:from>
      <xdr:col>17</xdr:col>
      <xdr:colOff>152400</xdr:colOff>
      <xdr:row>9</xdr:row>
      <xdr:rowOff>0</xdr:rowOff>
    </xdr:from>
    <xdr:ext cx="1752600" cy="276225"/>
    <xdr:sp>
      <xdr:nvSpPr>
        <xdr:cNvPr id="56" name="Shape 56"/>
        <xdr:cNvSpPr txBox="1"/>
      </xdr:nvSpPr>
      <xdr:spPr>
        <a:xfrm>
          <a:off x="4474463" y="3646650"/>
          <a:ext cx="174307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載荷点②</a:t>
          </a:r>
          <a:endParaRPr sz="1200"/>
        </a:p>
      </xdr:txBody>
    </xdr:sp>
    <xdr:clientData fLocksWithSheet="0"/>
  </xdr:oneCellAnchor>
  <xdr:oneCellAnchor>
    <xdr:from>
      <xdr:col>14</xdr:col>
      <xdr:colOff>123825</xdr:colOff>
      <xdr:row>9</xdr:row>
      <xdr:rowOff>0</xdr:rowOff>
    </xdr:from>
    <xdr:ext cx="1752600" cy="276225"/>
    <xdr:sp>
      <xdr:nvSpPr>
        <xdr:cNvPr id="57" name="Shape 57"/>
        <xdr:cNvSpPr txBox="1"/>
      </xdr:nvSpPr>
      <xdr:spPr>
        <a:xfrm>
          <a:off x="4474463" y="3646650"/>
          <a:ext cx="174307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固定治具</a:t>
          </a:r>
          <a:endParaRPr sz="1200"/>
        </a:p>
      </xdr:txBody>
    </xdr:sp>
    <xdr:clientData fLocksWithSheet="0"/>
  </xdr:oneCellAnchor>
  <xdr:oneCellAnchor>
    <xdr:from>
      <xdr:col>9</xdr:col>
      <xdr:colOff>457200</xdr:colOff>
      <xdr:row>10</xdr:row>
      <xdr:rowOff>85725</xdr:rowOff>
    </xdr:from>
    <xdr:ext cx="1733550" cy="38100"/>
    <xdr:grpSp>
      <xdr:nvGrpSpPr>
        <xdr:cNvPr id="2" name="Shape 2"/>
        <xdr:cNvGrpSpPr/>
      </xdr:nvGrpSpPr>
      <xdr:grpSpPr>
        <a:xfrm>
          <a:off x="4479225" y="3780000"/>
          <a:ext cx="1733550" cy="0"/>
          <a:chOff x="4479225" y="3780000"/>
          <a:chExt cx="1733550" cy="0"/>
        </a:xfrm>
      </xdr:grpSpPr>
      <xdr:cxnSp>
        <xdr:nvCxnSpPr>
          <xdr:cNvPr id="58" name="Shape 58"/>
          <xdr:cNvCxnSpPr/>
        </xdr:nvCxnSpPr>
        <xdr:spPr>
          <a:xfrm>
            <a:off x="4479225" y="3780000"/>
            <a:ext cx="1733550" cy="0"/>
          </a:xfrm>
          <a:prstGeom prst="straightConnector1">
            <a:avLst/>
          </a:prstGeom>
          <a:noFill/>
          <a:ln cap="flat" cmpd="sng" w="12700">
            <a:solidFill>
              <a:srgbClr val="3F3F3F"/>
            </a:solidFill>
            <a:prstDash val="solid"/>
            <a:miter lim="800000"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18</xdr:col>
      <xdr:colOff>476250</xdr:colOff>
      <xdr:row>10</xdr:row>
      <xdr:rowOff>85725</xdr:rowOff>
    </xdr:from>
    <xdr:ext cx="1771650" cy="38100"/>
    <xdr:grpSp>
      <xdr:nvGrpSpPr>
        <xdr:cNvPr id="2" name="Shape 2"/>
        <xdr:cNvGrpSpPr/>
      </xdr:nvGrpSpPr>
      <xdr:grpSpPr>
        <a:xfrm>
          <a:off x="4460175" y="3780000"/>
          <a:ext cx="1771650" cy="0"/>
          <a:chOff x="4460175" y="3780000"/>
          <a:chExt cx="1771650" cy="0"/>
        </a:xfrm>
      </xdr:grpSpPr>
      <xdr:cxnSp>
        <xdr:nvCxnSpPr>
          <xdr:cNvPr id="59" name="Shape 59"/>
          <xdr:cNvCxnSpPr/>
        </xdr:nvCxnSpPr>
        <xdr:spPr>
          <a:xfrm>
            <a:off x="4460175" y="3780000"/>
            <a:ext cx="1771650" cy="0"/>
          </a:xfrm>
          <a:prstGeom prst="straightConnector1">
            <a:avLst/>
          </a:prstGeom>
          <a:noFill/>
          <a:ln cap="flat" cmpd="sng" w="12700">
            <a:solidFill>
              <a:srgbClr val="3F3F3F"/>
            </a:solidFill>
            <a:prstDash val="solid"/>
            <a:miter lim="800000"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10</xdr:col>
      <xdr:colOff>285750</xdr:colOff>
      <xdr:row>10</xdr:row>
      <xdr:rowOff>57150</xdr:rowOff>
    </xdr:from>
    <xdr:ext cx="895350" cy="276225"/>
    <xdr:sp>
      <xdr:nvSpPr>
        <xdr:cNvPr id="60" name="Shape 60"/>
        <xdr:cNvSpPr txBox="1"/>
      </xdr:nvSpPr>
      <xdr:spPr>
        <a:xfrm>
          <a:off x="4903088" y="3646650"/>
          <a:ext cx="88582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2.5m</a:t>
          </a:r>
          <a:endParaRPr sz="1200"/>
        </a:p>
      </xdr:txBody>
    </xdr:sp>
    <xdr:clientData fLocksWithSheet="0"/>
  </xdr:oneCellAnchor>
  <xdr:oneCellAnchor>
    <xdr:from>
      <xdr:col>13</xdr:col>
      <xdr:colOff>276225</xdr:colOff>
      <xdr:row>10</xdr:row>
      <xdr:rowOff>57150</xdr:rowOff>
    </xdr:from>
    <xdr:ext cx="933450" cy="276225"/>
    <xdr:sp>
      <xdr:nvSpPr>
        <xdr:cNvPr id="61" name="Shape 61"/>
        <xdr:cNvSpPr txBox="1"/>
      </xdr:nvSpPr>
      <xdr:spPr>
        <a:xfrm>
          <a:off x="4884038" y="3646650"/>
          <a:ext cx="92392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2.5m</a:t>
          </a:r>
          <a:endParaRPr sz="1200"/>
        </a:p>
      </xdr:txBody>
    </xdr:sp>
    <xdr:clientData fLocksWithSheet="0"/>
  </xdr:oneCellAnchor>
  <xdr:oneCellAnchor>
    <xdr:from>
      <xdr:col>16</xdr:col>
      <xdr:colOff>304800</xdr:colOff>
      <xdr:row>10</xdr:row>
      <xdr:rowOff>57150</xdr:rowOff>
    </xdr:from>
    <xdr:ext cx="923925" cy="276225"/>
    <xdr:sp>
      <xdr:nvSpPr>
        <xdr:cNvPr id="62" name="Shape 62"/>
        <xdr:cNvSpPr txBox="1"/>
      </xdr:nvSpPr>
      <xdr:spPr>
        <a:xfrm>
          <a:off x="4888800" y="3646650"/>
          <a:ext cx="9144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2.5m</a:t>
          </a:r>
          <a:endParaRPr sz="1200"/>
        </a:p>
      </xdr:txBody>
    </xdr:sp>
    <xdr:clientData fLocksWithSheet="0"/>
  </xdr:oneCellAnchor>
  <xdr:oneCellAnchor>
    <xdr:from>
      <xdr:col>12</xdr:col>
      <xdr:colOff>438150</xdr:colOff>
      <xdr:row>10</xdr:row>
      <xdr:rowOff>85725</xdr:rowOff>
    </xdr:from>
    <xdr:ext cx="1762125" cy="38100"/>
    <xdr:grpSp>
      <xdr:nvGrpSpPr>
        <xdr:cNvPr id="2" name="Shape 2"/>
        <xdr:cNvGrpSpPr/>
      </xdr:nvGrpSpPr>
      <xdr:grpSpPr>
        <a:xfrm>
          <a:off x="4464938" y="3780000"/>
          <a:ext cx="1762125" cy="0"/>
          <a:chOff x="4464938" y="3780000"/>
          <a:chExt cx="1762125" cy="0"/>
        </a:xfrm>
      </xdr:grpSpPr>
      <xdr:cxnSp>
        <xdr:nvCxnSpPr>
          <xdr:cNvPr id="63" name="Shape 63"/>
          <xdr:cNvCxnSpPr/>
        </xdr:nvCxnSpPr>
        <xdr:spPr>
          <a:xfrm>
            <a:off x="4464938" y="3780000"/>
            <a:ext cx="1762125" cy="0"/>
          </a:xfrm>
          <a:prstGeom prst="straightConnector1">
            <a:avLst/>
          </a:prstGeom>
          <a:noFill/>
          <a:ln cap="flat" cmpd="sng" w="12700">
            <a:solidFill>
              <a:srgbClr val="3F3F3F"/>
            </a:solidFill>
            <a:prstDash val="solid"/>
            <a:miter lim="800000"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15</xdr:col>
      <xdr:colOff>466725</xdr:colOff>
      <xdr:row>10</xdr:row>
      <xdr:rowOff>85725</xdr:rowOff>
    </xdr:from>
    <xdr:ext cx="1752600" cy="38100"/>
    <xdr:grpSp>
      <xdr:nvGrpSpPr>
        <xdr:cNvPr id="2" name="Shape 2"/>
        <xdr:cNvGrpSpPr/>
      </xdr:nvGrpSpPr>
      <xdr:grpSpPr>
        <a:xfrm>
          <a:off x="4469700" y="3780000"/>
          <a:ext cx="1752600" cy="0"/>
          <a:chOff x="4469700" y="3780000"/>
          <a:chExt cx="1752600" cy="0"/>
        </a:xfrm>
      </xdr:grpSpPr>
      <xdr:cxnSp>
        <xdr:nvCxnSpPr>
          <xdr:cNvPr id="64" name="Shape 64"/>
          <xdr:cNvCxnSpPr/>
        </xdr:nvCxnSpPr>
        <xdr:spPr>
          <a:xfrm>
            <a:off x="4469700" y="3780000"/>
            <a:ext cx="1752600" cy="0"/>
          </a:xfrm>
          <a:prstGeom prst="straightConnector1">
            <a:avLst/>
          </a:prstGeom>
          <a:noFill/>
          <a:ln cap="flat" cmpd="sng" w="12700">
            <a:solidFill>
              <a:srgbClr val="3F3F3F"/>
            </a:solidFill>
            <a:prstDash val="solid"/>
            <a:miter lim="800000"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19</xdr:col>
      <xdr:colOff>323850</xdr:colOff>
      <xdr:row>10</xdr:row>
      <xdr:rowOff>57150</xdr:rowOff>
    </xdr:from>
    <xdr:ext cx="857250" cy="276225"/>
    <xdr:sp>
      <xdr:nvSpPr>
        <xdr:cNvPr id="65" name="Shape 65"/>
        <xdr:cNvSpPr txBox="1"/>
      </xdr:nvSpPr>
      <xdr:spPr>
        <a:xfrm>
          <a:off x="4922138" y="3646650"/>
          <a:ext cx="84772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2.5m</a:t>
          </a:r>
          <a:endParaRPr sz="1200"/>
        </a:p>
      </xdr:txBody>
    </xdr:sp>
    <xdr:clientData fLocksWithSheet="0"/>
  </xdr:oneCellAnchor>
  <xdr:oneCellAnchor>
    <xdr:from>
      <xdr:col>12</xdr:col>
      <xdr:colOff>419100</xdr:colOff>
      <xdr:row>3</xdr:row>
      <xdr:rowOff>209550</xdr:rowOff>
    </xdr:from>
    <xdr:ext cx="3810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cxnSp>
        <xdr:nvCxnSpPr>
          <xdr:cNvPr id="66" name="Shape 66"/>
          <xdr:cNvCxnSpPr/>
        </xdr:nvCxnSpPr>
        <xdr:spPr>
          <a:xfrm>
            <a:off x="5346000" y="3479963"/>
            <a:ext cx="0" cy="600075"/>
          </a:xfrm>
          <a:prstGeom prst="straightConnector1">
            <a:avLst/>
          </a:prstGeom>
          <a:noFill/>
          <a:ln cap="flat" cmpd="sng" w="12700">
            <a:solidFill>
              <a:srgbClr val="FF0000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18</xdr:col>
      <xdr:colOff>457200</xdr:colOff>
      <xdr:row>3</xdr:row>
      <xdr:rowOff>209550</xdr:rowOff>
    </xdr:from>
    <xdr:ext cx="3810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cxnSp>
        <xdr:nvCxnSpPr>
          <xdr:cNvPr id="66" name="Shape 66"/>
          <xdr:cNvCxnSpPr/>
        </xdr:nvCxnSpPr>
        <xdr:spPr>
          <a:xfrm>
            <a:off x="5346000" y="3479963"/>
            <a:ext cx="0" cy="600075"/>
          </a:xfrm>
          <a:prstGeom prst="straightConnector1">
            <a:avLst/>
          </a:prstGeom>
          <a:noFill/>
          <a:ln cap="flat" cmpd="sng" w="12700">
            <a:solidFill>
              <a:srgbClr val="FF0000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15</xdr:col>
      <xdr:colOff>447675</xdr:colOff>
      <xdr:row>3</xdr:row>
      <xdr:rowOff>209550</xdr:rowOff>
    </xdr:from>
    <xdr:ext cx="3810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cxnSp>
        <xdr:nvCxnSpPr>
          <xdr:cNvPr id="67" name="Shape 67"/>
          <xdr:cNvCxnSpPr/>
        </xdr:nvCxnSpPr>
        <xdr:spPr>
          <a:xfrm>
            <a:off x="5346000" y="3479963"/>
            <a:ext cx="0" cy="600075"/>
          </a:xfrm>
          <a:prstGeom prst="straightConnector1">
            <a:avLst/>
          </a:prstGeom>
          <a:noFill/>
          <a:ln cap="flat" cmpd="sng" w="12700">
            <a:solidFill>
              <a:srgbClr val="FF0000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14</xdr:col>
      <xdr:colOff>95250</xdr:colOff>
      <xdr:row>3</xdr:row>
      <xdr:rowOff>209550</xdr:rowOff>
    </xdr:from>
    <xdr:ext cx="3810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cxnSp>
        <xdr:nvCxnSpPr>
          <xdr:cNvPr id="66" name="Shape 66"/>
          <xdr:cNvCxnSpPr/>
        </xdr:nvCxnSpPr>
        <xdr:spPr>
          <a:xfrm>
            <a:off x="5346000" y="3479963"/>
            <a:ext cx="0" cy="600075"/>
          </a:xfrm>
          <a:prstGeom prst="straightConnector1">
            <a:avLst/>
          </a:prstGeom>
          <a:noFill/>
          <a:ln cap="flat" cmpd="sng" w="12700">
            <a:solidFill>
              <a:srgbClr val="FF0000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17</xdr:col>
      <xdr:colOff>123825</xdr:colOff>
      <xdr:row>3</xdr:row>
      <xdr:rowOff>209550</xdr:rowOff>
    </xdr:from>
    <xdr:ext cx="3810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cxnSp>
        <xdr:nvCxnSpPr>
          <xdr:cNvPr id="68" name="Shape 68"/>
          <xdr:cNvCxnSpPr/>
        </xdr:nvCxnSpPr>
        <xdr:spPr>
          <a:xfrm>
            <a:off x="5346000" y="3479963"/>
            <a:ext cx="0" cy="600075"/>
          </a:xfrm>
          <a:prstGeom prst="straightConnector1">
            <a:avLst/>
          </a:prstGeom>
          <a:noFill/>
          <a:ln cap="flat" cmpd="sng" w="12700">
            <a:solidFill>
              <a:srgbClr val="FF0000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20</xdr:col>
      <xdr:colOff>152400</xdr:colOff>
      <xdr:row>3</xdr:row>
      <xdr:rowOff>209550</xdr:rowOff>
    </xdr:from>
    <xdr:ext cx="3810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cxnSp>
        <xdr:nvCxnSpPr>
          <xdr:cNvPr id="66" name="Shape 66"/>
          <xdr:cNvCxnSpPr/>
        </xdr:nvCxnSpPr>
        <xdr:spPr>
          <a:xfrm>
            <a:off x="5346000" y="3479963"/>
            <a:ext cx="0" cy="600075"/>
          </a:xfrm>
          <a:prstGeom prst="straightConnector1">
            <a:avLst/>
          </a:prstGeom>
          <a:noFill/>
          <a:ln cap="flat" cmpd="sng" w="12700">
            <a:solidFill>
              <a:srgbClr val="FF0000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11</xdr:col>
      <xdr:colOff>76200</xdr:colOff>
      <xdr:row>3</xdr:row>
      <xdr:rowOff>209550</xdr:rowOff>
    </xdr:from>
    <xdr:ext cx="3810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cxnSp>
        <xdr:nvCxnSpPr>
          <xdr:cNvPr id="66" name="Shape 66"/>
          <xdr:cNvCxnSpPr/>
        </xdr:nvCxnSpPr>
        <xdr:spPr>
          <a:xfrm>
            <a:off x="5346000" y="3479963"/>
            <a:ext cx="0" cy="600075"/>
          </a:xfrm>
          <a:prstGeom prst="straightConnector1">
            <a:avLst/>
          </a:prstGeom>
          <a:noFill/>
          <a:ln cap="flat" cmpd="sng" w="12700">
            <a:solidFill>
              <a:srgbClr val="FF0000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10</xdr:col>
      <xdr:colOff>342900</xdr:colOff>
      <xdr:row>2</xdr:row>
      <xdr:rowOff>180975</xdr:rowOff>
    </xdr:from>
    <xdr:ext cx="800100" cy="266700"/>
    <xdr:sp>
      <xdr:nvSpPr>
        <xdr:cNvPr id="69" name="Shape 69"/>
        <xdr:cNvSpPr txBox="1"/>
      </xdr:nvSpPr>
      <xdr:spPr>
        <a:xfrm>
          <a:off x="4950713" y="3651413"/>
          <a:ext cx="79057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変位計1</a:t>
          </a:r>
          <a:endParaRPr sz="1100"/>
        </a:p>
      </xdr:txBody>
    </xdr:sp>
    <xdr:clientData fLocksWithSheet="0"/>
  </xdr:oneCellAnchor>
  <xdr:oneCellAnchor>
    <xdr:from>
      <xdr:col>11</xdr:col>
      <xdr:colOff>638175</xdr:colOff>
      <xdr:row>2</xdr:row>
      <xdr:rowOff>180975</xdr:rowOff>
    </xdr:from>
    <xdr:ext cx="762000" cy="266700"/>
    <xdr:sp>
      <xdr:nvSpPr>
        <xdr:cNvPr id="70" name="Shape 70"/>
        <xdr:cNvSpPr txBox="1"/>
      </xdr:nvSpPr>
      <xdr:spPr>
        <a:xfrm>
          <a:off x="4969763" y="3651413"/>
          <a:ext cx="75247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変位計2</a:t>
          </a:r>
          <a:endParaRPr sz="1100"/>
        </a:p>
      </xdr:txBody>
    </xdr:sp>
    <xdr:clientData fLocksWithSheet="0"/>
  </xdr:oneCellAnchor>
  <xdr:oneCellAnchor>
    <xdr:from>
      <xdr:col>13</xdr:col>
      <xdr:colOff>323850</xdr:colOff>
      <xdr:row>2</xdr:row>
      <xdr:rowOff>180975</xdr:rowOff>
    </xdr:from>
    <xdr:ext cx="828675" cy="266700"/>
    <xdr:sp>
      <xdr:nvSpPr>
        <xdr:cNvPr id="71" name="Shape 71"/>
        <xdr:cNvSpPr txBox="1"/>
      </xdr:nvSpPr>
      <xdr:spPr>
        <a:xfrm>
          <a:off x="4936425" y="3651413"/>
          <a:ext cx="81915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変位計3</a:t>
          </a:r>
          <a:endParaRPr sz="1100"/>
        </a:p>
      </xdr:txBody>
    </xdr:sp>
    <xdr:clientData fLocksWithSheet="0"/>
  </xdr:oneCellAnchor>
  <xdr:oneCellAnchor>
    <xdr:from>
      <xdr:col>15</xdr:col>
      <xdr:colOff>0</xdr:colOff>
      <xdr:row>2</xdr:row>
      <xdr:rowOff>180975</xdr:rowOff>
    </xdr:from>
    <xdr:ext cx="828675" cy="266700"/>
    <xdr:sp>
      <xdr:nvSpPr>
        <xdr:cNvPr id="72" name="Shape 72"/>
        <xdr:cNvSpPr txBox="1"/>
      </xdr:nvSpPr>
      <xdr:spPr>
        <a:xfrm>
          <a:off x="4936425" y="3651413"/>
          <a:ext cx="81915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変位計4</a:t>
          </a:r>
          <a:endParaRPr sz="1100"/>
        </a:p>
      </xdr:txBody>
    </xdr:sp>
    <xdr:clientData fLocksWithSheet="0"/>
  </xdr:oneCellAnchor>
  <xdr:oneCellAnchor>
    <xdr:from>
      <xdr:col>16</xdr:col>
      <xdr:colOff>342900</xdr:colOff>
      <xdr:row>2</xdr:row>
      <xdr:rowOff>180975</xdr:rowOff>
    </xdr:from>
    <xdr:ext cx="838200" cy="266700"/>
    <xdr:sp>
      <xdr:nvSpPr>
        <xdr:cNvPr id="73" name="Shape 73"/>
        <xdr:cNvSpPr txBox="1"/>
      </xdr:nvSpPr>
      <xdr:spPr>
        <a:xfrm>
          <a:off x="4931663" y="3651413"/>
          <a:ext cx="82867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変位計5</a:t>
          </a:r>
          <a:endParaRPr sz="1100"/>
        </a:p>
      </xdr:txBody>
    </xdr:sp>
    <xdr:clientData fLocksWithSheet="0"/>
  </xdr:oneCellAnchor>
  <xdr:oneCellAnchor>
    <xdr:from>
      <xdr:col>18</xdr:col>
      <xdr:colOff>28575</xdr:colOff>
      <xdr:row>2</xdr:row>
      <xdr:rowOff>180975</xdr:rowOff>
    </xdr:from>
    <xdr:ext cx="828675" cy="266700"/>
    <xdr:sp>
      <xdr:nvSpPr>
        <xdr:cNvPr id="74" name="Shape 74"/>
        <xdr:cNvSpPr txBox="1"/>
      </xdr:nvSpPr>
      <xdr:spPr>
        <a:xfrm>
          <a:off x="4936425" y="3651413"/>
          <a:ext cx="81915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変位計6</a:t>
          </a:r>
          <a:endParaRPr sz="1100"/>
        </a:p>
      </xdr:txBody>
    </xdr:sp>
    <xdr:clientData fLocksWithSheet="0"/>
  </xdr:oneCellAnchor>
  <xdr:oneCellAnchor>
    <xdr:from>
      <xdr:col>19</xdr:col>
      <xdr:colOff>371475</xdr:colOff>
      <xdr:row>2</xdr:row>
      <xdr:rowOff>180975</xdr:rowOff>
    </xdr:from>
    <xdr:ext cx="838200" cy="266700"/>
    <xdr:sp>
      <xdr:nvSpPr>
        <xdr:cNvPr id="75" name="Shape 75"/>
        <xdr:cNvSpPr txBox="1"/>
      </xdr:nvSpPr>
      <xdr:spPr>
        <a:xfrm>
          <a:off x="4931663" y="3651413"/>
          <a:ext cx="82867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変位計7</a:t>
          </a:r>
          <a:endParaRPr sz="1100"/>
        </a:p>
      </xdr:txBody>
    </xdr:sp>
    <xdr:clientData fLocksWithSheet="0"/>
  </xdr:oneCellAnchor>
  <xdr:oneCellAnchor>
    <xdr:from>
      <xdr:col>9</xdr:col>
      <xdr:colOff>419100</xdr:colOff>
      <xdr:row>4</xdr:row>
      <xdr:rowOff>19050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75"/>
          <a:chOff x="5346000" y="3594263"/>
          <a:chExt cx="0" cy="371475"/>
        </a:xfrm>
      </xdr:grpSpPr>
      <xdr:cxnSp>
        <xdr:nvCxnSpPr>
          <xdr:cNvPr id="76" name="Shape 76"/>
          <xdr:cNvCxnSpPr/>
        </xdr:nvCxnSpPr>
        <xdr:spPr>
          <a:xfrm>
            <a:off x="5346000" y="3594263"/>
            <a:ext cx="0" cy="371475"/>
          </a:xfrm>
          <a:prstGeom prst="straightConnector1">
            <a:avLst/>
          </a:prstGeom>
          <a:noFill/>
          <a:ln cap="flat" cmpd="sng" w="19050">
            <a:solidFill>
              <a:srgbClr val="0000FF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9</xdr:col>
      <xdr:colOff>0</xdr:colOff>
      <xdr:row>3</xdr:row>
      <xdr:rowOff>19050</xdr:rowOff>
    </xdr:from>
    <xdr:ext cx="828675" cy="266700"/>
    <xdr:sp>
      <xdr:nvSpPr>
        <xdr:cNvPr id="77" name="Shape 77"/>
        <xdr:cNvSpPr txBox="1"/>
      </xdr:nvSpPr>
      <xdr:spPr>
        <a:xfrm>
          <a:off x="4936425" y="3651413"/>
          <a:ext cx="81915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in</a:t>
          </a:r>
          <a:endParaRPr sz="1100"/>
        </a:p>
      </xdr:txBody>
    </xdr:sp>
    <xdr:clientData fLocksWithSheet="0"/>
  </xdr:oneCellAnchor>
  <xdr:oneCellAnchor>
    <xdr:from>
      <xdr:col>21</xdr:col>
      <xdr:colOff>504825</xdr:colOff>
      <xdr:row>4</xdr:row>
      <xdr:rowOff>19050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78" name="Shape 78"/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cap="flat" cmpd="sng" w="19050">
            <a:solidFill>
              <a:srgbClr val="0000FF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21</xdr:col>
      <xdr:colOff>66675</xdr:colOff>
      <xdr:row>3</xdr:row>
      <xdr:rowOff>19050</xdr:rowOff>
    </xdr:from>
    <xdr:ext cx="828675" cy="276225"/>
    <xdr:sp>
      <xdr:nvSpPr>
        <xdr:cNvPr id="79" name="Shape 79"/>
        <xdr:cNvSpPr txBox="1"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out</a:t>
          </a:r>
          <a:endParaRPr sz="1100"/>
        </a:p>
      </xdr:txBody>
    </xdr:sp>
    <xdr:clientData fLocksWithSheet="0"/>
  </xdr:oneCellAnchor>
  <xdr:oneCellAnchor>
    <xdr:from>
      <xdr:col>12</xdr:col>
      <xdr:colOff>314325</xdr:colOff>
      <xdr:row>7</xdr:row>
      <xdr:rowOff>180975</xdr:rowOff>
    </xdr:from>
    <xdr:ext cx="247650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371475</xdr:colOff>
      <xdr:row>7</xdr:row>
      <xdr:rowOff>180975</xdr:rowOff>
    </xdr:from>
    <xdr:ext cx="247650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36</xdr:row>
      <xdr:rowOff>0</xdr:rowOff>
    </xdr:from>
    <xdr:ext cx="4076700" cy="2876550"/>
    <xdr:graphicFrame>
      <xdr:nvGraphicFramePr>
        <xdr:cNvPr id="731680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0</xdr:colOff>
      <xdr:row>36</xdr:row>
      <xdr:rowOff>0</xdr:rowOff>
    </xdr:from>
    <xdr:ext cx="4076700" cy="2876550"/>
    <xdr:graphicFrame>
      <xdr:nvGraphicFramePr>
        <xdr:cNvPr id="146962438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29</xdr:col>
      <xdr:colOff>0</xdr:colOff>
      <xdr:row>36</xdr:row>
      <xdr:rowOff>0</xdr:rowOff>
    </xdr:from>
    <xdr:ext cx="4076700" cy="2876550"/>
    <xdr:graphicFrame>
      <xdr:nvGraphicFramePr>
        <xdr:cNvPr id="159209560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42</xdr:col>
      <xdr:colOff>0</xdr:colOff>
      <xdr:row>36</xdr:row>
      <xdr:rowOff>0</xdr:rowOff>
    </xdr:from>
    <xdr:ext cx="4076700" cy="2876550"/>
    <xdr:graphicFrame>
      <xdr:nvGraphicFramePr>
        <xdr:cNvPr id="67935997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8.71"/>
    <col customWidth="1" min="6" max="7" width="12.29"/>
    <col customWidth="1" min="8" max="26" width="8.71"/>
  </cols>
  <sheetData>
    <row r="1" ht="18.0" customHeight="1"/>
    <row r="2" ht="18.0" customHeight="1">
      <c r="A2" s="1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B3" s="3" t="s">
        <v>5</v>
      </c>
      <c r="C3" s="4">
        <v>13.961</v>
      </c>
      <c r="D3" s="4">
        <v>26.125</v>
      </c>
      <c r="E3" s="4">
        <f t="shared" ref="E3:E6" si="1">D3-C3</f>
        <v>12.164</v>
      </c>
      <c r="F3" s="5">
        <f t="shared" ref="F3:F6" si="2">E3*139/((139^2+(32.9*PI())^2)^(1/2))</f>
        <v>9.761171285</v>
      </c>
      <c r="G3" s="6">
        <v>0.0</v>
      </c>
    </row>
    <row r="4" ht="18.0" customHeight="1">
      <c r="B4" s="3" t="s">
        <v>6</v>
      </c>
      <c r="C4" s="4">
        <v>28.555</v>
      </c>
      <c r="D4" s="4">
        <v>40.752</v>
      </c>
      <c r="E4" s="4">
        <f t="shared" si="1"/>
        <v>12.197</v>
      </c>
      <c r="F4" s="5">
        <f t="shared" si="2"/>
        <v>9.787652595</v>
      </c>
      <c r="G4" s="6">
        <v>90.0</v>
      </c>
    </row>
    <row r="5" ht="18.0" customHeight="1">
      <c r="B5" s="3" t="s">
        <v>7</v>
      </c>
      <c r="C5" s="4">
        <v>43.02</v>
      </c>
      <c r="D5" s="4">
        <v>55.18</v>
      </c>
      <c r="E5" s="4">
        <f t="shared" si="1"/>
        <v>12.16</v>
      </c>
      <c r="F5" s="5">
        <f t="shared" si="2"/>
        <v>9.75796143</v>
      </c>
      <c r="G5" s="6">
        <v>180.0</v>
      </c>
    </row>
    <row r="6" ht="18.0" customHeight="1">
      <c r="B6" s="3" t="s">
        <v>8</v>
      </c>
      <c r="C6" s="4">
        <v>57.599000000000004</v>
      </c>
      <c r="D6" s="4">
        <v>69.8</v>
      </c>
      <c r="E6" s="4">
        <f t="shared" si="1"/>
        <v>12.201</v>
      </c>
      <c r="F6" s="5">
        <f t="shared" si="2"/>
        <v>9.790862451</v>
      </c>
      <c r="G6" s="6">
        <v>270.0</v>
      </c>
    </row>
    <row r="7" ht="18.0" customHeight="1"/>
    <row r="8" ht="18.0" customHeight="1">
      <c r="B8" s="2"/>
      <c r="C8" s="2" t="s">
        <v>0</v>
      </c>
      <c r="D8" s="2" t="s">
        <v>1</v>
      </c>
      <c r="E8" s="2" t="s">
        <v>2</v>
      </c>
      <c r="F8" s="2" t="s">
        <v>3</v>
      </c>
      <c r="G8" s="2" t="s">
        <v>4</v>
      </c>
    </row>
    <row r="9" ht="18.0" customHeight="1">
      <c r="D9" s="7"/>
    </row>
    <row r="10" ht="18.0" customHeight="1"/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11" width="8.71"/>
    <col customWidth="1" min="12" max="12" width="16.43"/>
    <col customWidth="1" min="13" max="13" width="28.0"/>
    <col customWidth="1" min="14" max="15" width="2.71"/>
    <col customWidth="1" min="16" max="23" width="8.71"/>
    <col customWidth="1" min="24" max="24" width="15.43"/>
    <col customWidth="1" min="25" max="26" width="8.71"/>
    <col customWidth="1" min="27" max="27" width="28.86"/>
    <col customWidth="1" min="28" max="29" width="2.71"/>
    <col customWidth="1" min="30" max="39" width="8.71"/>
    <col customWidth="1" min="40" max="40" width="25.57"/>
    <col customWidth="1" min="41" max="42" width="2.71"/>
    <col customWidth="1" min="43" max="50" width="8.71"/>
    <col customWidth="1" min="51" max="51" width="11.86"/>
    <col customWidth="1" min="52" max="52" width="8.71"/>
    <col customWidth="1" min="53" max="53" width="25.57"/>
    <col customWidth="1" min="54" max="55" width="2.71"/>
    <col customWidth="1" min="56" max="56" width="8.71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</row>
    <row r="2">
      <c r="A2" s="8"/>
      <c r="B2" s="8" t="s">
        <v>9</v>
      </c>
      <c r="C2" s="8"/>
      <c r="D2" s="8"/>
      <c r="E2" s="8"/>
      <c r="F2" s="8"/>
      <c r="G2" s="8"/>
      <c r="H2" s="8"/>
      <c r="I2" s="8"/>
      <c r="J2" s="8"/>
      <c r="K2" s="9"/>
      <c r="L2" s="9"/>
      <c r="M2" s="8"/>
      <c r="N2" s="8"/>
      <c r="O2" s="8"/>
      <c r="P2" s="8" t="s">
        <v>10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 t="s">
        <v>11</v>
      </c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 t="s">
        <v>12</v>
      </c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</row>
    <row r="3">
      <c r="A3" s="8"/>
      <c r="B3" s="10" t="s">
        <v>13</v>
      </c>
      <c r="C3" s="11" t="s">
        <v>14</v>
      </c>
      <c r="D3" s="12" t="s">
        <v>15</v>
      </c>
      <c r="E3" s="10" t="s">
        <v>16</v>
      </c>
      <c r="F3" s="11" t="s">
        <v>17</v>
      </c>
      <c r="G3" s="10" t="s">
        <v>18</v>
      </c>
      <c r="H3" s="10" t="s">
        <v>19</v>
      </c>
      <c r="I3" s="10" t="s">
        <v>20</v>
      </c>
      <c r="J3" s="12" t="s">
        <v>21</v>
      </c>
      <c r="K3" s="13" t="s">
        <v>22</v>
      </c>
      <c r="L3" s="13" t="s">
        <v>23</v>
      </c>
      <c r="M3" s="10" t="s">
        <v>24</v>
      </c>
      <c r="N3" s="14"/>
      <c r="O3" s="8"/>
      <c r="P3" s="10" t="s">
        <v>13</v>
      </c>
      <c r="Q3" s="11" t="s">
        <v>14</v>
      </c>
      <c r="R3" s="12" t="s">
        <v>15</v>
      </c>
      <c r="S3" s="10" t="s">
        <v>16</v>
      </c>
      <c r="T3" s="11" t="s">
        <v>17</v>
      </c>
      <c r="U3" s="10" t="s">
        <v>18</v>
      </c>
      <c r="V3" s="10" t="s">
        <v>19</v>
      </c>
      <c r="W3" s="10" t="s">
        <v>20</v>
      </c>
      <c r="X3" s="10" t="s">
        <v>25</v>
      </c>
      <c r="Y3" s="12" t="s">
        <v>21</v>
      </c>
      <c r="Z3" s="10" t="s">
        <v>22</v>
      </c>
      <c r="AA3" s="10" t="s">
        <v>24</v>
      </c>
      <c r="AB3" s="14"/>
      <c r="AC3" s="8"/>
      <c r="AD3" s="10" t="s">
        <v>13</v>
      </c>
      <c r="AE3" s="11" t="s">
        <v>14</v>
      </c>
      <c r="AF3" s="12" t="s">
        <v>15</v>
      </c>
      <c r="AG3" s="10" t="s">
        <v>16</v>
      </c>
      <c r="AH3" s="11" t="s">
        <v>17</v>
      </c>
      <c r="AI3" s="10" t="s">
        <v>18</v>
      </c>
      <c r="AJ3" s="10" t="s">
        <v>19</v>
      </c>
      <c r="AK3" s="10" t="s">
        <v>20</v>
      </c>
      <c r="AL3" s="12" t="s">
        <v>21</v>
      </c>
      <c r="AM3" s="10" t="s">
        <v>22</v>
      </c>
      <c r="AN3" s="10" t="s">
        <v>24</v>
      </c>
      <c r="AO3" s="14"/>
      <c r="AP3" s="8"/>
      <c r="AQ3" s="10" t="s">
        <v>13</v>
      </c>
      <c r="AR3" s="11" t="s">
        <v>14</v>
      </c>
      <c r="AS3" s="12" t="s">
        <v>15</v>
      </c>
      <c r="AT3" s="10" t="s">
        <v>16</v>
      </c>
      <c r="AU3" s="11" t="s">
        <v>17</v>
      </c>
      <c r="AV3" s="10" t="s">
        <v>18</v>
      </c>
      <c r="AW3" s="10" t="s">
        <v>19</v>
      </c>
      <c r="AX3" s="10" t="s">
        <v>20</v>
      </c>
      <c r="AY3" s="12" t="s">
        <v>21</v>
      </c>
      <c r="AZ3" s="10" t="s">
        <v>22</v>
      </c>
      <c r="BA3" s="10" t="s">
        <v>24</v>
      </c>
      <c r="BB3" s="14"/>
      <c r="BC3" s="8"/>
      <c r="BD3" s="14"/>
    </row>
    <row r="4">
      <c r="A4" s="8"/>
      <c r="B4" s="15">
        <v>0.0</v>
      </c>
      <c r="C4" s="16">
        <v>0.0</v>
      </c>
      <c r="D4" s="16">
        <v>0.0</v>
      </c>
      <c r="E4" s="16">
        <v>0.0</v>
      </c>
      <c r="F4" s="16">
        <v>0.0</v>
      </c>
      <c r="G4" s="16">
        <v>0.0</v>
      </c>
      <c r="H4" s="16">
        <v>0.0</v>
      </c>
      <c r="I4" s="17">
        <v>0.0</v>
      </c>
      <c r="J4" s="16">
        <v>0.0</v>
      </c>
      <c r="K4" s="15">
        <v>0.0</v>
      </c>
      <c r="L4" s="18"/>
      <c r="M4" s="19">
        <v>0.5868055555555556</v>
      </c>
      <c r="N4" s="8"/>
      <c r="O4" s="8"/>
      <c r="P4" s="15">
        <v>0.0</v>
      </c>
      <c r="Q4" s="16">
        <v>0.0</v>
      </c>
      <c r="R4" s="16">
        <v>0.0</v>
      </c>
      <c r="S4" s="16">
        <v>0.0</v>
      </c>
      <c r="T4" s="16">
        <v>0.0</v>
      </c>
      <c r="U4" s="16">
        <v>0.0</v>
      </c>
      <c r="V4" s="16">
        <v>0.0</v>
      </c>
      <c r="W4" s="16">
        <v>0.0</v>
      </c>
      <c r="X4" s="16"/>
      <c r="Y4" s="16">
        <v>0.0</v>
      </c>
      <c r="Z4" s="16">
        <v>0.0</v>
      </c>
      <c r="AA4" s="19">
        <v>0.37569444444444444</v>
      </c>
      <c r="AB4" s="8"/>
      <c r="AC4" s="8"/>
      <c r="AD4" s="15">
        <v>0.0</v>
      </c>
      <c r="AE4" s="16">
        <v>0.0</v>
      </c>
      <c r="AF4" s="16">
        <v>0.0</v>
      </c>
      <c r="AG4" s="16">
        <v>0.0</v>
      </c>
      <c r="AH4" s="16">
        <v>0.0</v>
      </c>
      <c r="AI4" s="16">
        <v>0.0</v>
      </c>
      <c r="AJ4" s="16">
        <v>0.0</v>
      </c>
      <c r="AK4" s="16">
        <v>0.0</v>
      </c>
      <c r="AL4" s="16">
        <v>0.0</v>
      </c>
      <c r="AM4" s="16">
        <v>0.0</v>
      </c>
      <c r="AN4" s="18" t="s">
        <v>26</v>
      </c>
      <c r="AO4" s="8"/>
      <c r="AP4" s="8"/>
      <c r="AQ4" s="18">
        <v>0.0</v>
      </c>
      <c r="AR4" s="20">
        <v>0.0</v>
      </c>
      <c r="AS4" s="20">
        <v>0.0</v>
      </c>
      <c r="AT4" s="20">
        <v>0.0</v>
      </c>
      <c r="AU4" s="20">
        <v>0.0</v>
      </c>
      <c r="AV4" s="20">
        <v>0.0</v>
      </c>
      <c r="AW4" s="20">
        <v>0.0</v>
      </c>
      <c r="AX4" s="20">
        <v>0.0</v>
      </c>
      <c r="AY4" s="20">
        <v>0.0</v>
      </c>
      <c r="AZ4" s="20">
        <v>0.0</v>
      </c>
      <c r="BA4" s="19">
        <v>0.5715277777777777</v>
      </c>
      <c r="BB4" s="8"/>
      <c r="BC4" s="8"/>
      <c r="BD4" s="8"/>
    </row>
    <row r="5">
      <c r="A5" s="8"/>
      <c r="B5" s="16">
        <v>1.0</v>
      </c>
      <c r="C5" s="16">
        <v>2.5</v>
      </c>
      <c r="D5" s="16">
        <v>2.5</v>
      </c>
      <c r="E5" s="16">
        <v>0.3</v>
      </c>
      <c r="F5" s="16">
        <v>2.5</v>
      </c>
      <c r="G5" s="16">
        <v>1.3</v>
      </c>
      <c r="H5" s="16">
        <v>0.0</v>
      </c>
      <c r="I5" s="17">
        <v>0.0</v>
      </c>
      <c r="J5" s="16">
        <v>2.5</v>
      </c>
      <c r="K5" s="15">
        <v>0.9</v>
      </c>
      <c r="L5" s="15"/>
      <c r="M5" s="21">
        <v>0.5875</v>
      </c>
      <c r="N5" s="8"/>
      <c r="O5" s="8"/>
      <c r="P5" s="16">
        <v>1.0</v>
      </c>
      <c r="Q5" s="16">
        <v>2.5</v>
      </c>
      <c r="R5" s="16">
        <v>0.0</v>
      </c>
      <c r="S5" s="16">
        <v>1.1</v>
      </c>
      <c r="T5" s="16">
        <v>2.5</v>
      </c>
      <c r="U5" s="16">
        <v>1.6</v>
      </c>
      <c r="V5" s="16">
        <v>-0.2</v>
      </c>
      <c r="W5" s="16">
        <v>-0.3</v>
      </c>
      <c r="X5" s="15" t="s">
        <v>27</v>
      </c>
      <c r="Y5" s="16">
        <v>0.0</v>
      </c>
      <c r="Z5" s="16">
        <v>0.0</v>
      </c>
      <c r="AA5" s="21" t="s">
        <v>28</v>
      </c>
      <c r="AB5" s="8"/>
      <c r="AC5" s="8"/>
      <c r="AD5" s="16">
        <v>1.0</v>
      </c>
      <c r="AE5" s="16">
        <v>2.5</v>
      </c>
      <c r="AF5" s="16">
        <v>-2.5</v>
      </c>
      <c r="AG5" s="16">
        <v>1.4</v>
      </c>
      <c r="AH5" s="16">
        <v>2.5</v>
      </c>
      <c r="AI5" s="16">
        <v>1.3</v>
      </c>
      <c r="AJ5" s="16">
        <v>0.0</v>
      </c>
      <c r="AK5" s="16">
        <v>-1.4</v>
      </c>
      <c r="AL5" s="16">
        <v>-2.5</v>
      </c>
      <c r="AM5" s="16">
        <v>-1.7</v>
      </c>
      <c r="AN5" s="15" t="s">
        <v>29</v>
      </c>
      <c r="AO5" s="8"/>
      <c r="AP5" s="8"/>
      <c r="AQ5" s="16">
        <v>1.0</v>
      </c>
      <c r="AR5" s="16">
        <v>5.0</v>
      </c>
      <c r="AS5" s="16">
        <v>5.0</v>
      </c>
      <c r="AT5" s="16">
        <v>2.8</v>
      </c>
      <c r="AU5" s="16">
        <v>5.0</v>
      </c>
      <c r="AV5" s="16">
        <v>2.4</v>
      </c>
      <c r="AW5" s="16">
        <v>0.0</v>
      </c>
      <c r="AX5" s="16">
        <v>2.2</v>
      </c>
      <c r="AY5" s="16">
        <v>5.0</v>
      </c>
      <c r="AZ5" s="16">
        <v>3.2</v>
      </c>
      <c r="BA5" s="15" t="s">
        <v>30</v>
      </c>
      <c r="BB5" s="8"/>
      <c r="BC5" s="8"/>
      <c r="BD5" s="8"/>
    </row>
    <row r="6">
      <c r="A6" s="8"/>
      <c r="B6" s="16">
        <v>2.0</v>
      </c>
      <c r="C6" s="16">
        <v>5.0</v>
      </c>
      <c r="D6" s="16">
        <v>5.0</v>
      </c>
      <c r="E6" s="16">
        <v>0.0</v>
      </c>
      <c r="F6" s="16">
        <v>5.0</v>
      </c>
      <c r="G6" s="16">
        <v>2.5</v>
      </c>
      <c r="H6" s="16">
        <v>0.1</v>
      </c>
      <c r="I6" s="17">
        <v>0.0</v>
      </c>
      <c r="J6" s="16">
        <v>5.0</v>
      </c>
      <c r="K6" s="15">
        <v>1.8</v>
      </c>
      <c r="L6" s="15"/>
      <c r="M6" s="21">
        <v>0.5902777777777778</v>
      </c>
      <c r="N6" s="8"/>
      <c r="O6" s="8"/>
      <c r="P6" s="16">
        <v>2.0</v>
      </c>
      <c r="Q6" s="16">
        <v>5.0</v>
      </c>
      <c r="R6" s="16">
        <v>2.5</v>
      </c>
      <c r="S6" s="16">
        <v>2.3</v>
      </c>
      <c r="T6" s="16">
        <v>5.0</v>
      </c>
      <c r="U6" s="16">
        <v>2.8</v>
      </c>
      <c r="V6" s="16">
        <v>-0.3</v>
      </c>
      <c r="W6" s="16">
        <f t="shared" ref="W6:W21" si="1">W$5+X6</f>
        <v>0.6</v>
      </c>
      <c r="X6" s="16">
        <v>0.9</v>
      </c>
      <c r="Y6" s="16">
        <v>2.5</v>
      </c>
      <c r="Z6" s="16">
        <v>1.4</v>
      </c>
      <c r="AA6" s="21">
        <v>0.38333333333333336</v>
      </c>
      <c r="AB6" s="8"/>
      <c r="AC6" s="8"/>
      <c r="AD6" s="16">
        <v>2.0</v>
      </c>
      <c r="AE6" s="16">
        <v>5.0</v>
      </c>
      <c r="AF6" s="16">
        <v>-5.0</v>
      </c>
      <c r="AG6" s="16">
        <v>2.9</v>
      </c>
      <c r="AH6" s="16">
        <v>5.0</v>
      </c>
      <c r="AI6" s="16">
        <v>3.0</v>
      </c>
      <c r="AJ6" s="16">
        <v>0.0</v>
      </c>
      <c r="AK6" s="16">
        <v>-3.2</v>
      </c>
      <c r="AL6" s="16">
        <v>-5.0</v>
      </c>
      <c r="AM6" s="16">
        <v>-2.9</v>
      </c>
      <c r="AN6" s="15" t="s">
        <v>31</v>
      </c>
      <c r="AO6" s="8"/>
      <c r="AP6" s="8"/>
      <c r="AQ6" s="16">
        <v>2.0</v>
      </c>
      <c r="AR6" s="16">
        <v>10.0</v>
      </c>
      <c r="AS6" s="16">
        <v>10.0</v>
      </c>
      <c r="AT6" s="16">
        <v>5.6</v>
      </c>
      <c r="AU6" s="16">
        <v>10.0</v>
      </c>
      <c r="AV6" s="16">
        <v>5.2</v>
      </c>
      <c r="AW6" s="16">
        <v>0.0</v>
      </c>
      <c r="AX6" s="16">
        <v>4.7</v>
      </c>
      <c r="AY6" s="16">
        <v>10.0</v>
      </c>
      <c r="AZ6" s="16">
        <v>6.3</v>
      </c>
      <c r="BA6" s="15" t="s">
        <v>32</v>
      </c>
      <c r="BB6" s="8"/>
      <c r="BC6" s="8"/>
      <c r="BD6" s="8"/>
    </row>
    <row r="7">
      <c r="A7" s="8"/>
      <c r="B7" s="16">
        <v>3.0</v>
      </c>
      <c r="C7" s="16">
        <v>7.5</v>
      </c>
      <c r="D7" s="16">
        <v>7.5</v>
      </c>
      <c r="E7" s="16">
        <v>2.4</v>
      </c>
      <c r="F7" s="16">
        <v>7.5</v>
      </c>
      <c r="G7" s="16">
        <v>3.6</v>
      </c>
      <c r="H7" s="16">
        <v>0.1</v>
      </c>
      <c r="I7" s="17">
        <v>0.0</v>
      </c>
      <c r="J7" s="16">
        <v>7.5</v>
      </c>
      <c r="K7" s="15">
        <v>2.9</v>
      </c>
      <c r="L7" s="15"/>
      <c r="M7" s="21">
        <v>0.5916666666666667</v>
      </c>
      <c r="N7" s="8"/>
      <c r="O7" s="8"/>
      <c r="P7" s="16">
        <v>3.0</v>
      </c>
      <c r="Q7" s="16">
        <v>7.5</v>
      </c>
      <c r="R7" s="16">
        <v>5.0</v>
      </c>
      <c r="S7" s="16">
        <v>3.6</v>
      </c>
      <c r="T7" s="16">
        <v>7.5</v>
      </c>
      <c r="U7" s="16">
        <v>4.1</v>
      </c>
      <c r="V7" s="16">
        <v>-0.2</v>
      </c>
      <c r="W7" s="16">
        <f t="shared" si="1"/>
        <v>1.7</v>
      </c>
      <c r="X7" s="16">
        <v>2.0</v>
      </c>
      <c r="Y7" s="16">
        <v>5.0</v>
      </c>
      <c r="Z7" s="16">
        <v>2.9</v>
      </c>
      <c r="AA7" s="21">
        <v>0.38472222222222224</v>
      </c>
      <c r="AB7" s="8"/>
      <c r="AC7" s="8"/>
      <c r="AD7" s="16">
        <v>3.0</v>
      </c>
      <c r="AE7" s="16">
        <v>7.5</v>
      </c>
      <c r="AF7" s="16">
        <v>-7.5</v>
      </c>
      <c r="AG7" s="16">
        <v>4.2</v>
      </c>
      <c r="AH7" s="16">
        <v>7.5</v>
      </c>
      <c r="AI7" s="16">
        <v>4.8</v>
      </c>
      <c r="AJ7" s="16">
        <v>0.0</v>
      </c>
      <c r="AK7" s="16">
        <v>-4.9</v>
      </c>
      <c r="AL7" s="16">
        <v>-7.5</v>
      </c>
      <c r="AM7" s="16">
        <v>-4.2</v>
      </c>
      <c r="AN7" s="15" t="s">
        <v>33</v>
      </c>
      <c r="AO7" s="8"/>
      <c r="AP7" s="8"/>
      <c r="AQ7" s="16">
        <v>3.0</v>
      </c>
      <c r="AR7" s="16">
        <v>15.0</v>
      </c>
      <c r="AS7" s="16">
        <v>15.0</v>
      </c>
      <c r="AT7" s="16">
        <v>8.4</v>
      </c>
      <c r="AU7" s="16">
        <v>15.0</v>
      </c>
      <c r="AV7" s="16">
        <v>8.2</v>
      </c>
      <c r="AW7" s="16">
        <v>-0.1</v>
      </c>
      <c r="AX7" s="16">
        <v>7.1</v>
      </c>
      <c r="AY7" s="16">
        <v>15.0</v>
      </c>
      <c r="AZ7" s="16">
        <v>9.3</v>
      </c>
      <c r="BA7" s="15" t="s">
        <v>34</v>
      </c>
      <c r="BB7" s="8"/>
      <c r="BC7" s="8"/>
      <c r="BD7" s="8"/>
    </row>
    <row r="8">
      <c r="A8" s="8"/>
      <c r="B8" s="16">
        <v>4.0</v>
      </c>
      <c r="C8" s="16">
        <v>10.0</v>
      </c>
      <c r="D8" s="16">
        <v>10.0</v>
      </c>
      <c r="E8" s="16">
        <v>3.6</v>
      </c>
      <c r="F8" s="16">
        <v>10.0</v>
      </c>
      <c r="G8" s="16">
        <v>4.8</v>
      </c>
      <c r="H8" s="16">
        <v>0.1</v>
      </c>
      <c r="I8" s="17">
        <v>-1.6</v>
      </c>
      <c r="J8" s="16">
        <v>10.0</v>
      </c>
      <c r="K8" s="15">
        <v>4.0</v>
      </c>
      <c r="L8" s="15"/>
      <c r="M8" s="21">
        <v>0.5930555555555556</v>
      </c>
      <c r="N8" s="8"/>
      <c r="O8" s="8"/>
      <c r="P8" s="16">
        <v>4.0</v>
      </c>
      <c r="Q8" s="16">
        <v>10.0</v>
      </c>
      <c r="R8" s="16">
        <v>7.5</v>
      </c>
      <c r="S8" s="16">
        <v>5.0</v>
      </c>
      <c r="T8" s="16">
        <v>10.0</v>
      </c>
      <c r="U8" s="16">
        <v>5.5</v>
      </c>
      <c r="V8" s="16">
        <v>-0.2</v>
      </c>
      <c r="W8" s="16">
        <f t="shared" si="1"/>
        <v>2.9</v>
      </c>
      <c r="X8" s="16">
        <v>3.2</v>
      </c>
      <c r="Y8" s="16">
        <v>7.5</v>
      </c>
      <c r="Z8" s="16">
        <v>4.4</v>
      </c>
      <c r="AA8" s="21">
        <v>0.38680555555555557</v>
      </c>
      <c r="AB8" s="8"/>
      <c r="AC8" s="8"/>
      <c r="AD8" s="16">
        <v>4.0</v>
      </c>
      <c r="AE8" s="16">
        <v>10.0</v>
      </c>
      <c r="AF8" s="16">
        <v>-10.0</v>
      </c>
      <c r="AG8" s="16">
        <v>5.5</v>
      </c>
      <c r="AH8" s="16">
        <v>10.0</v>
      </c>
      <c r="AI8" s="16">
        <v>6.4</v>
      </c>
      <c r="AJ8" s="16">
        <v>0.0</v>
      </c>
      <c r="AK8" s="16">
        <v>-6.4</v>
      </c>
      <c r="AL8" s="16">
        <v>-10.0</v>
      </c>
      <c r="AM8" s="16">
        <v>-5.8</v>
      </c>
      <c r="AN8" s="15" t="s">
        <v>35</v>
      </c>
      <c r="AO8" s="8"/>
      <c r="AP8" s="8"/>
      <c r="AQ8" s="16">
        <v>4.0</v>
      </c>
      <c r="AR8" s="16">
        <v>20.0</v>
      </c>
      <c r="AS8" s="16">
        <v>20.0</v>
      </c>
      <c r="AT8" s="16">
        <v>11.4</v>
      </c>
      <c r="AU8" s="16">
        <v>20.0</v>
      </c>
      <c r="AV8" s="16">
        <v>11.1</v>
      </c>
      <c r="AW8" s="16">
        <v>-0.2</v>
      </c>
      <c r="AX8" s="16">
        <v>9.6</v>
      </c>
      <c r="AY8" s="16">
        <v>20.0</v>
      </c>
      <c r="AZ8" s="16">
        <v>12.5</v>
      </c>
      <c r="BA8" s="15" t="s">
        <v>36</v>
      </c>
      <c r="BB8" s="8"/>
      <c r="BC8" s="8"/>
      <c r="BD8" s="8"/>
    </row>
    <row r="9">
      <c r="A9" s="8"/>
      <c r="B9" s="16">
        <v>5.0</v>
      </c>
      <c r="C9" s="16">
        <v>12.5</v>
      </c>
      <c r="D9" s="16">
        <v>12.5</v>
      </c>
      <c r="E9" s="16">
        <v>4.8</v>
      </c>
      <c r="F9" s="16">
        <v>12.5</v>
      </c>
      <c r="G9" s="16">
        <v>6.3</v>
      </c>
      <c r="H9" s="16">
        <v>0.1</v>
      </c>
      <c r="I9" s="17">
        <v>0.0</v>
      </c>
      <c r="J9" s="16">
        <v>12.5</v>
      </c>
      <c r="K9" s="15">
        <v>5.5</v>
      </c>
      <c r="L9" s="15"/>
      <c r="M9" s="21">
        <v>0.5951388888888889</v>
      </c>
      <c r="N9" s="8"/>
      <c r="O9" s="8"/>
      <c r="P9" s="16">
        <v>5.0</v>
      </c>
      <c r="Q9" s="16">
        <v>12.5</v>
      </c>
      <c r="R9" s="16">
        <v>10.0</v>
      </c>
      <c r="S9" s="16">
        <v>6.5</v>
      </c>
      <c r="T9" s="16">
        <v>12.5</v>
      </c>
      <c r="U9" s="16">
        <v>6.8</v>
      </c>
      <c r="V9" s="16">
        <v>0.0</v>
      </c>
      <c r="W9" s="16">
        <f t="shared" si="1"/>
        <v>4.2</v>
      </c>
      <c r="X9" s="16">
        <v>4.5</v>
      </c>
      <c r="Y9" s="16">
        <v>10.0</v>
      </c>
      <c r="Z9" s="16">
        <v>5.9</v>
      </c>
      <c r="AA9" s="21">
        <v>0.3875</v>
      </c>
      <c r="AB9" s="8"/>
      <c r="AC9" s="8"/>
      <c r="AD9" s="16">
        <v>5.0</v>
      </c>
      <c r="AE9" s="16">
        <v>12.5</v>
      </c>
      <c r="AF9" s="16">
        <v>-12.5</v>
      </c>
      <c r="AG9" s="16">
        <v>6.9</v>
      </c>
      <c r="AH9" s="16">
        <v>12.5</v>
      </c>
      <c r="AI9" s="16">
        <v>8.3</v>
      </c>
      <c r="AJ9" s="16">
        <v>0.0</v>
      </c>
      <c r="AK9" s="16">
        <v>-8.0</v>
      </c>
      <c r="AL9" s="16">
        <v>-12.5</v>
      </c>
      <c r="AM9" s="16">
        <v>-7.2</v>
      </c>
      <c r="AN9" s="15" t="s">
        <v>37</v>
      </c>
      <c r="AO9" s="8"/>
      <c r="AP9" s="8"/>
      <c r="AQ9" s="16">
        <v>5.0</v>
      </c>
      <c r="AR9" s="16">
        <v>25.0</v>
      </c>
      <c r="AS9" s="16">
        <v>25.0</v>
      </c>
      <c r="AT9" s="16">
        <v>14.6</v>
      </c>
      <c r="AU9" s="16">
        <v>25.0</v>
      </c>
      <c r="AV9" s="16">
        <v>13.8</v>
      </c>
      <c r="AW9" s="16">
        <v>0.0</v>
      </c>
      <c r="AX9" s="16">
        <v>12.5</v>
      </c>
      <c r="AY9" s="16">
        <v>25.0</v>
      </c>
      <c r="AZ9" s="16">
        <v>15.6</v>
      </c>
      <c r="BA9" s="15" t="s">
        <v>38</v>
      </c>
      <c r="BB9" s="8"/>
      <c r="BC9" s="8"/>
      <c r="BD9" s="8"/>
    </row>
    <row r="10">
      <c r="A10" s="8"/>
      <c r="B10" s="16">
        <v>6.0</v>
      </c>
      <c r="C10" s="16">
        <v>15.0</v>
      </c>
      <c r="D10" s="16">
        <v>15.0</v>
      </c>
      <c r="E10" s="16">
        <v>6.0</v>
      </c>
      <c r="F10" s="16">
        <v>15.0</v>
      </c>
      <c r="G10" s="16">
        <v>7.7</v>
      </c>
      <c r="H10" s="16">
        <v>0.1</v>
      </c>
      <c r="I10" s="17">
        <v>0.0</v>
      </c>
      <c r="J10" s="16">
        <v>15.0</v>
      </c>
      <c r="K10" s="15">
        <v>6.5</v>
      </c>
      <c r="L10" s="15" t="s">
        <v>27</v>
      </c>
      <c r="M10" s="22" t="s">
        <v>39</v>
      </c>
      <c r="N10" s="8"/>
      <c r="O10" s="8"/>
      <c r="P10" s="16">
        <v>6.0</v>
      </c>
      <c r="Q10" s="16">
        <v>15.0</v>
      </c>
      <c r="R10" s="16">
        <v>12.5</v>
      </c>
      <c r="S10" s="16">
        <v>7.8</v>
      </c>
      <c r="T10" s="16">
        <v>15.0</v>
      </c>
      <c r="U10" s="16">
        <v>8.1</v>
      </c>
      <c r="V10" s="16">
        <v>0.0</v>
      </c>
      <c r="W10" s="16">
        <f t="shared" si="1"/>
        <v>5.5</v>
      </c>
      <c r="X10" s="16">
        <v>5.8</v>
      </c>
      <c r="Y10" s="16">
        <v>12.5</v>
      </c>
      <c r="Z10" s="16">
        <v>7.3</v>
      </c>
      <c r="AA10" s="21">
        <v>0.3888888888888889</v>
      </c>
      <c r="AB10" s="8"/>
      <c r="AC10" s="8"/>
      <c r="AD10" s="16">
        <v>6.0</v>
      </c>
      <c r="AE10" s="16">
        <v>15.0</v>
      </c>
      <c r="AF10" s="16">
        <v>-15.0</v>
      </c>
      <c r="AG10" s="16">
        <v>8.2</v>
      </c>
      <c r="AH10" s="16">
        <v>15.0</v>
      </c>
      <c r="AI10" s="16">
        <v>10.2</v>
      </c>
      <c r="AJ10" s="16">
        <v>0.1</v>
      </c>
      <c r="AK10" s="16">
        <v>-9.8</v>
      </c>
      <c r="AL10" s="16">
        <v>-15.0</v>
      </c>
      <c r="AM10" s="16">
        <v>-8.4</v>
      </c>
      <c r="AN10" s="15" t="s">
        <v>40</v>
      </c>
      <c r="AO10" s="8"/>
      <c r="AP10" s="8"/>
      <c r="AQ10" s="16">
        <v>6.0</v>
      </c>
      <c r="AR10" s="16">
        <v>30.0</v>
      </c>
      <c r="AS10" s="16">
        <v>30.0</v>
      </c>
      <c r="AT10" s="16">
        <v>17.7</v>
      </c>
      <c r="AU10" s="16">
        <v>30.0</v>
      </c>
      <c r="AV10" s="16">
        <v>16.8</v>
      </c>
      <c r="AW10" s="16">
        <v>0.1</v>
      </c>
      <c r="AX10" s="16">
        <v>15.0</v>
      </c>
      <c r="AY10" s="16">
        <v>30.0</v>
      </c>
      <c r="AZ10" s="16">
        <v>18.8</v>
      </c>
      <c r="BA10" s="15" t="s">
        <v>41</v>
      </c>
      <c r="BB10" s="8"/>
      <c r="BC10" s="8"/>
      <c r="BD10" s="8"/>
    </row>
    <row r="11">
      <c r="A11" s="8"/>
      <c r="B11" s="16">
        <v>7.0</v>
      </c>
      <c r="C11" s="16">
        <v>17.5</v>
      </c>
      <c r="D11" s="16">
        <v>17.5</v>
      </c>
      <c r="E11" s="16">
        <v>5.7</v>
      </c>
      <c r="F11" s="16">
        <v>17.5</v>
      </c>
      <c r="G11" s="16">
        <v>8.0</v>
      </c>
      <c r="H11" s="16">
        <v>0.0</v>
      </c>
      <c r="I11" s="16">
        <v>1.4</v>
      </c>
      <c r="J11" s="16">
        <v>17.5</v>
      </c>
      <c r="K11" s="15">
        <f t="shared" ref="K11:K28" si="2">K$10+L11</f>
        <v>7.2</v>
      </c>
      <c r="L11" s="15">
        <v>0.7</v>
      </c>
      <c r="M11" s="21">
        <v>0.6208333333333333</v>
      </c>
      <c r="N11" s="8"/>
      <c r="O11" s="8"/>
      <c r="P11" s="16">
        <v>7.0</v>
      </c>
      <c r="Q11" s="16">
        <v>17.5</v>
      </c>
      <c r="R11" s="16">
        <v>15.0</v>
      </c>
      <c r="S11" s="16">
        <v>9.3</v>
      </c>
      <c r="T11" s="16">
        <v>17.5</v>
      </c>
      <c r="U11" s="16">
        <v>9.5</v>
      </c>
      <c r="V11" s="16">
        <v>0.1</v>
      </c>
      <c r="W11" s="16">
        <f t="shared" si="1"/>
        <v>6.8</v>
      </c>
      <c r="X11" s="16">
        <v>7.1</v>
      </c>
      <c r="Y11" s="16">
        <v>15.0</v>
      </c>
      <c r="Z11" s="16">
        <v>8.6</v>
      </c>
      <c r="AA11" s="21">
        <v>0.3902777777777778</v>
      </c>
      <c r="AB11" s="8"/>
      <c r="AC11" s="8"/>
      <c r="AD11" s="16">
        <v>7.0</v>
      </c>
      <c r="AE11" s="16">
        <v>17.5</v>
      </c>
      <c r="AF11" s="16">
        <v>-17.5</v>
      </c>
      <c r="AG11" s="16">
        <v>9.7</v>
      </c>
      <c r="AH11" s="16">
        <v>17.5</v>
      </c>
      <c r="AI11" s="16">
        <v>12.0</v>
      </c>
      <c r="AJ11" s="16">
        <v>0.0</v>
      </c>
      <c r="AK11" s="16">
        <v>-11.5</v>
      </c>
      <c r="AL11" s="16">
        <v>-17.5</v>
      </c>
      <c r="AM11" s="16">
        <v>-9.7</v>
      </c>
      <c r="AN11" s="15" t="s">
        <v>42</v>
      </c>
      <c r="AO11" s="8"/>
      <c r="AP11" s="8"/>
      <c r="AQ11" s="16">
        <v>7.0</v>
      </c>
      <c r="AR11" s="16">
        <v>35.0</v>
      </c>
      <c r="AS11" s="16">
        <v>35.0</v>
      </c>
      <c r="AT11" s="16">
        <v>20.5</v>
      </c>
      <c r="AU11" s="16">
        <v>35.0</v>
      </c>
      <c r="AV11" s="16">
        <v>19.6</v>
      </c>
      <c r="AW11" s="16">
        <v>0.0</v>
      </c>
      <c r="AX11" s="16">
        <v>17.5</v>
      </c>
      <c r="AY11" s="16">
        <v>35.0</v>
      </c>
      <c r="AZ11" s="16">
        <v>22.1</v>
      </c>
      <c r="BA11" s="15" t="s">
        <v>43</v>
      </c>
      <c r="BB11" s="8"/>
      <c r="BC11" s="8"/>
      <c r="BD11" s="8"/>
    </row>
    <row r="12">
      <c r="A12" s="8"/>
      <c r="B12" s="16">
        <v>8.0</v>
      </c>
      <c r="C12" s="16">
        <v>20.0</v>
      </c>
      <c r="D12" s="16">
        <v>20.0</v>
      </c>
      <c r="E12" s="16">
        <v>7.1</v>
      </c>
      <c r="F12" s="16">
        <v>20.0</v>
      </c>
      <c r="G12" s="16">
        <v>9.3</v>
      </c>
      <c r="H12" s="16">
        <v>0.0</v>
      </c>
      <c r="I12" s="16">
        <v>2.5</v>
      </c>
      <c r="J12" s="16">
        <v>20.0</v>
      </c>
      <c r="K12" s="15">
        <f t="shared" si="2"/>
        <v>8.8</v>
      </c>
      <c r="L12" s="15">
        <v>2.3</v>
      </c>
      <c r="M12" s="21">
        <v>0.6222222222222222</v>
      </c>
      <c r="N12" s="8"/>
      <c r="O12" s="8"/>
      <c r="P12" s="16">
        <v>8.0</v>
      </c>
      <c r="Q12" s="16">
        <v>20.0</v>
      </c>
      <c r="R12" s="16">
        <v>17.5</v>
      </c>
      <c r="S12" s="16">
        <v>10.7</v>
      </c>
      <c r="T12" s="16">
        <v>20.0</v>
      </c>
      <c r="U12" s="16">
        <v>10.8</v>
      </c>
      <c r="V12" s="16">
        <v>0.0</v>
      </c>
      <c r="W12" s="16">
        <f t="shared" si="1"/>
        <v>8</v>
      </c>
      <c r="X12" s="16">
        <v>8.3</v>
      </c>
      <c r="Y12" s="16">
        <v>17.5</v>
      </c>
      <c r="Z12" s="16">
        <v>10.2</v>
      </c>
      <c r="AA12" s="21">
        <v>0.39166666666666666</v>
      </c>
      <c r="AB12" s="8"/>
      <c r="AC12" s="8"/>
      <c r="AD12" s="16">
        <v>8.0</v>
      </c>
      <c r="AE12" s="16">
        <v>20.0</v>
      </c>
      <c r="AF12" s="16">
        <v>-20.0</v>
      </c>
      <c r="AG12" s="16">
        <v>11.2</v>
      </c>
      <c r="AH12" s="16">
        <v>20.0</v>
      </c>
      <c r="AI12" s="16">
        <v>13.8</v>
      </c>
      <c r="AJ12" s="16">
        <v>0.0</v>
      </c>
      <c r="AK12" s="16">
        <v>-13.3</v>
      </c>
      <c r="AL12" s="16">
        <v>-20.0</v>
      </c>
      <c r="AM12" s="16">
        <f>+-10.9</f>
        <v>-10.9</v>
      </c>
      <c r="AN12" s="15" t="s">
        <v>44</v>
      </c>
      <c r="AO12" s="8"/>
      <c r="AP12" s="8"/>
      <c r="AQ12" s="16">
        <v>8.0</v>
      </c>
      <c r="AR12" s="16">
        <v>40.0</v>
      </c>
      <c r="AS12" s="16">
        <v>40.0</v>
      </c>
      <c r="AT12" s="16">
        <v>23.8</v>
      </c>
      <c r="AU12" s="16">
        <v>40.0</v>
      </c>
      <c r="AV12" s="16">
        <v>22.8</v>
      </c>
      <c r="AW12" s="16">
        <v>0.2</v>
      </c>
      <c r="AX12" s="16">
        <v>20.4</v>
      </c>
      <c r="AY12" s="16">
        <v>40.0</v>
      </c>
      <c r="AZ12" s="16">
        <v>25.4</v>
      </c>
      <c r="BA12" s="15" t="s">
        <v>45</v>
      </c>
      <c r="BB12" s="8"/>
      <c r="BC12" s="8"/>
      <c r="BD12" s="8"/>
    </row>
    <row r="13">
      <c r="A13" s="8"/>
      <c r="B13" s="16">
        <v>9.0</v>
      </c>
      <c r="C13" s="16">
        <v>22.5</v>
      </c>
      <c r="D13" s="16">
        <v>22.5</v>
      </c>
      <c r="E13" s="16">
        <v>8.3</v>
      </c>
      <c r="F13" s="16">
        <v>22.5</v>
      </c>
      <c r="G13" s="16">
        <v>11.1</v>
      </c>
      <c r="H13" s="16">
        <v>0.0</v>
      </c>
      <c r="I13" s="16">
        <v>3.7</v>
      </c>
      <c r="J13" s="16">
        <v>22.5</v>
      </c>
      <c r="K13" s="15">
        <f t="shared" si="2"/>
        <v>10.3</v>
      </c>
      <c r="L13" s="15">
        <v>3.8</v>
      </c>
      <c r="M13" s="21">
        <v>0.6243055555555556</v>
      </c>
      <c r="N13" s="8"/>
      <c r="O13" s="8"/>
      <c r="P13" s="16">
        <v>9.0</v>
      </c>
      <c r="Q13" s="16">
        <v>17.5</v>
      </c>
      <c r="R13" s="16">
        <v>20.0</v>
      </c>
      <c r="S13" s="16">
        <v>9.5</v>
      </c>
      <c r="T13" s="16">
        <v>17.5</v>
      </c>
      <c r="U13" s="16">
        <v>9.1</v>
      </c>
      <c r="V13" s="16">
        <v>0.0</v>
      </c>
      <c r="W13" s="16">
        <f t="shared" si="1"/>
        <v>9.6</v>
      </c>
      <c r="X13" s="16">
        <v>9.9</v>
      </c>
      <c r="Y13" s="16">
        <v>20.0</v>
      </c>
      <c r="Z13" s="16">
        <v>11.6</v>
      </c>
      <c r="AA13" s="21">
        <v>0.3923611111111111</v>
      </c>
      <c r="AB13" s="8"/>
      <c r="AC13" s="8"/>
      <c r="AD13" s="16">
        <v>9.0</v>
      </c>
      <c r="AE13" s="16">
        <v>17.5</v>
      </c>
      <c r="AF13" s="16">
        <v>-17.5</v>
      </c>
      <c r="AG13" s="16">
        <v>9.4</v>
      </c>
      <c r="AH13" s="16">
        <v>17.5</v>
      </c>
      <c r="AI13" s="16">
        <v>12.3</v>
      </c>
      <c r="AJ13" s="16">
        <v>0.0</v>
      </c>
      <c r="AK13" s="16">
        <v>-12.1</v>
      </c>
      <c r="AL13" s="16">
        <v>-17.5</v>
      </c>
      <c r="AM13" s="16">
        <v>-9.6</v>
      </c>
      <c r="AN13" s="15" t="s">
        <v>46</v>
      </c>
      <c r="AO13" s="8"/>
      <c r="AP13" s="8"/>
      <c r="AQ13" s="16">
        <v>9.0</v>
      </c>
      <c r="AR13" s="16">
        <v>45.0</v>
      </c>
      <c r="AS13" s="16">
        <v>45.0</v>
      </c>
      <c r="AT13" s="16">
        <v>26.9</v>
      </c>
      <c r="AU13" s="16">
        <v>45.0</v>
      </c>
      <c r="AV13" s="16">
        <v>25.8</v>
      </c>
      <c r="AW13" s="16">
        <v>0.1</v>
      </c>
      <c r="AX13" s="16">
        <v>23.3</v>
      </c>
      <c r="AY13" s="16">
        <v>45.0</v>
      </c>
      <c r="AZ13" s="16">
        <v>28.6</v>
      </c>
      <c r="BA13" s="15" t="s">
        <v>47</v>
      </c>
      <c r="BB13" s="8"/>
      <c r="BC13" s="8"/>
      <c r="BD13" s="8"/>
    </row>
    <row r="14">
      <c r="A14" s="8"/>
      <c r="B14" s="16">
        <v>10.0</v>
      </c>
      <c r="C14" s="16">
        <v>25.0</v>
      </c>
      <c r="D14" s="16">
        <v>25.0</v>
      </c>
      <c r="E14" s="16">
        <v>9.6</v>
      </c>
      <c r="F14" s="16">
        <v>25.0</v>
      </c>
      <c r="G14" s="16">
        <v>12.8</v>
      </c>
      <c r="H14" s="16">
        <v>0.0</v>
      </c>
      <c r="I14" s="16">
        <v>5.3</v>
      </c>
      <c r="J14" s="16">
        <v>25.0</v>
      </c>
      <c r="K14" s="15">
        <f t="shared" si="2"/>
        <v>11.4</v>
      </c>
      <c r="L14" s="15">
        <v>4.9</v>
      </c>
      <c r="M14" s="21">
        <v>0.6256944444444444</v>
      </c>
      <c r="N14" s="8"/>
      <c r="O14" s="8"/>
      <c r="P14" s="16">
        <v>10.0</v>
      </c>
      <c r="Q14" s="16">
        <v>15.0</v>
      </c>
      <c r="R14" s="16">
        <v>17.5</v>
      </c>
      <c r="S14" s="16">
        <v>7.9</v>
      </c>
      <c r="T14" s="16">
        <v>15.0</v>
      </c>
      <c r="U14" s="16">
        <v>7.4</v>
      </c>
      <c r="V14" s="16">
        <v>0.0</v>
      </c>
      <c r="W14" s="16">
        <f t="shared" si="1"/>
        <v>8.5</v>
      </c>
      <c r="X14" s="16">
        <v>8.8</v>
      </c>
      <c r="Y14" s="16">
        <v>17.5</v>
      </c>
      <c r="Z14" s="16">
        <v>9.7</v>
      </c>
      <c r="AA14" s="21">
        <v>0.39375</v>
      </c>
      <c r="AB14" s="8"/>
      <c r="AC14" s="8"/>
      <c r="AD14" s="16">
        <v>10.0</v>
      </c>
      <c r="AE14" s="16">
        <v>15.0</v>
      </c>
      <c r="AF14" s="16">
        <v>-15.0</v>
      </c>
      <c r="AG14" s="16">
        <v>8.0</v>
      </c>
      <c r="AH14" s="16">
        <v>15.0</v>
      </c>
      <c r="AI14" s="16">
        <v>10.4</v>
      </c>
      <c r="AJ14" s="16">
        <v>0.0</v>
      </c>
      <c r="AK14" s="16">
        <v>-10.5</v>
      </c>
      <c r="AL14" s="16">
        <v>-15.0</v>
      </c>
      <c r="AM14" s="16">
        <v>-8.2</v>
      </c>
      <c r="AN14" s="15" t="s">
        <v>48</v>
      </c>
      <c r="AO14" s="8"/>
      <c r="AP14" s="8"/>
      <c r="AQ14" s="16">
        <v>10.0</v>
      </c>
      <c r="AR14" s="16">
        <v>50.0</v>
      </c>
      <c r="AS14" s="16">
        <v>50.0</v>
      </c>
      <c r="AT14" s="16">
        <v>30.0</v>
      </c>
      <c r="AU14" s="16">
        <v>50.0</v>
      </c>
      <c r="AV14" s="16">
        <v>28.9</v>
      </c>
      <c r="AW14" s="16">
        <v>0.0</v>
      </c>
      <c r="AX14" s="16">
        <v>26.2</v>
      </c>
      <c r="AY14" s="16">
        <v>50.0</v>
      </c>
      <c r="AZ14" s="16">
        <v>31.8</v>
      </c>
      <c r="BA14" s="15" t="s">
        <v>49</v>
      </c>
      <c r="BB14" s="8"/>
      <c r="BC14" s="8"/>
      <c r="BD14" s="8"/>
    </row>
    <row r="15">
      <c r="A15" s="8"/>
      <c r="B15" s="16">
        <v>11.0</v>
      </c>
      <c r="C15" s="16">
        <v>27.5</v>
      </c>
      <c r="D15" s="16">
        <v>27.5</v>
      </c>
      <c r="E15" s="16">
        <v>11.0</v>
      </c>
      <c r="F15" s="16">
        <v>27.5</v>
      </c>
      <c r="G15" s="16">
        <v>14.1</v>
      </c>
      <c r="H15" s="16">
        <v>0.0</v>
      </c>
      <c r="I15" s="16">
        <v>6.6</v>
      </c>
      <c r="J15" s="16">
        <v>27.5</v>
      </c>
      <c r="K15" s="15">
        <f t="shared" si="2"/>
        <v>12.9</v>
      </c>
      <c r="L15" s="15">
        <v>6.4</v>
      </c>
      <c r="M15" s="21">
        <v>0.6284722222222222</v>
      </c>
      <c r="N15" s="8"/>
      <c r="O15" s="8"/>
      <c r="P15" s="16">
        <v>11.0</v>
      </c>
      <c r="Q15" s="16">
        <v>12.5</v>
      </c>
      <c r="R15" s="16">
        <v>15.0</v>
      </c>
      <c r="S15" s="16">
        <v>6.8</v>
      </c>
      <c r="T15" s="16">
        <v>12.5</v>
      </c>
      <c r="U15" s="16">
        <v>5.7</v>
      </c>
      <c r="V15" s="16">
        <v>0.0</v>
      </c>
      <c r="W15" s="16">
        <f t="shared" si="1"/>
        <v>7.2</v>
      </c>
      <c r="X15" s="16">
        <v>7.5</v>
      </c>
      <c r="Y15" s="16">
        <v>15.0</v>
      </c>
      <c r="Z15" s="8">
        <v>8.2</v>
      </c>
      <c r="AA15" s="21">
        <v>0.3951388888888889</v>
      </c>
      <c r="AB15" s="8"/>
      <c r="AC15" s="8"/>
      <c r="AD15" s="16">
        <v>11.0</v>
      </c>
      <c r="AE15" s="16">
        <v>12.5</v>
      </c>
      <c r="AF15" s="16">
        <v>-12.5</v>
      </c>
      <c r="AG15" s="16">
        <v>6.5</v>
      </c>
      <c r="AH15" s="16">
        <v>12.5</v>
      </c>
      <c r="AI15" s="16">
        <v>8.4</v>
      </c>
      <c r="AJ15" s="16">
        <v>0.0</v>
      </c>
      <c r="AK15" s="16">
        <v>-8.6</v>
      </c>
      <c r="AL15" s="16">
        <v>-12.5</v>
      </c>
      <c r="AM15" s="16">
        <v>-7.2</v>
      </c>
      <c r="AN15" s="15" t="s">
        <v>50</v>
      </c>
      <c r="AO15" s="8"/>
      <c r="AP15" s="8"/>
      <c r="AQ15" s="16">
        <v>11.0</v>
      </c>
      <c r="AR15" s="16">
        <v>55.0</v>
      </c>
      <c r="AS15" s="16">
        <v>55.0</v>
      </c>
      <c r="AT15" s="16">
        <v>32.9</v>
      </c>
      <c r="AU15" s="16">
        <v>55.0</v>
      </c>
      <c r="AV15" s="16">
        <v>31.8</v>
      </c>
      <c r="AW15" s="16">
        <v>-0.2</v>
      </c>
      <c r="AX15" s="16">
        <v>28.6</v>
      </c>
      <c r="AY15" s="16">
        <v>55.0</v>
      </c>
      <c r="AZ15" s="16">
        <v>35.2</v>
      </c>
      <c r="BA15" s="15" t="s">
        <v>51</v>
      </c>
      <c r="BB15" s="8"/>
      <c r="BC15" s="8"/>
      <c r="BD15" s="8"/>
    </row>
    <row r="16">
      <c r="A16" s="8"/>
      <c r="B16" s="16">
        <v>12.0</v>
      </c>
      <c r="C16" s="16">
        <v>30.0</v>
      </c>
      <c r="D16" s="16">
        <v>30.0</v>
      </c>
      <c r="E16" s="16">
        <v>12.4</v>
      </c>
      <c r="F16" s="16">
        <v>30.0</v>
      </c>
      <c r="G16" s="16">
        <v>15.6</v>
      </c>
      <c r="H16" s="16">
        <v>0.0</v>
      </c>
      <c r="I16" s="16">
        <v>8.0</v>
      </c>
      <c r="J16" s="16">
        <v>30.0</v>
      </c>
      <c r="K16" s="15">
        <f t="shared" si="2"/>
        <v>14.5</v>
      </c>
      <c r="L16" s="15">
        <v>8.0</v>
      </c>
      <c r="M16" s="21">
        <v>0.6298611111111111</v>
      </c>
      <c r="N16" s="8"/>
      <c r="O16" s="8"/>
      <c r="P16" s="16">
        <v>12.0</v>
      </c>
      <c r="Q16" s="16">
        <v>10.0</v>
      </c>
      <c r="R16" s="16">
        <v>12.5</v>
      </c>
      <c r="S16" s="16">
        <v>5.4</v>
      </c>
      <c r="T16" s="16">
        <v>10.0</v>
      </c>
      <c r="U16" s="16">
        <v>3.9</v>
      </c>
      <c r="V16" s="16">
        <v>0.0</v>
      </c>
      <c r="W16" s="16">
        <f t="shared" si="1"/>
        <v>6.3</v>
      </c>
      <c r="X16" s="16">
        <v>6.6</v>
      </c>
      <c r="Y16" s="16">
        <v>12.5</v>
      </c>
      <c r="Z16" s="16">
        <v>6.6</v>
      </c>
      <c r="AA16" s="21">
        <v>0.39652777777777776</v>
      </c>
      <c r="AB16" s="8"/>
      <c r="AC16" s="8"/>
      <c r="AD16" s="16">
        <v>12.0</v>
      </c>
      <c r="AE16" s="16">
        <v>10.0</v>
      </c>
      <c r="AF16" s="16">
        <v>-10.0</v>
      </c>
      <c r="AG16" s="16">
        <v>5.0</v>
      </c>
      <c r="AH16" s="16">
        <v>10.0</v>
      </c>
      <c r="AI16" s="16">
        <v>6.5</v>
      </c>
      <c r="AJ16" s="16">
        <v>-0.1</v>
      </c>
      <c r="AK16" s="16">
        <v>-7.0</v>
      </c>
      <c r="AL16" s="16">
        <v>-10.0</v>
      </c>
      <c r="AM16" s="16">
        <v>-5.8</v>
      </c>
      <c r="AN16" s="15" t="s">
        <v>52</v>
      </c>
      <c r="AO16" s="8"/>
      <c r="AP16" s="8"/>
      <c r="AQ16" s="16">
        <v>12.0</v>
      </c>
      <c r="AR16" s="16">
        <v>60.0</v>
      </c>
      <c r="AS16" s="16">
        <v>60.0</v>
      </c>
      <c r="AT16" s="16">
        <v>35.7</v>
      </c>
      <c r="AU16" s="16">
        <v>60.0</v>
      </c>
      <c r="AV16" s="16">
        <v>34.4</v>
      </c>
      <c r="AW16" s="16">
        <v>0.0</v>
      </c>
      <c r="AX16" s="16">
        <v>30.0</v>
      </c>
      <c r="AY16" s="15" t="s">
        <v>53</v>
      </c>
      <c r="AZ16" s="16">
        <v>38.0</v>
      </c>
      <c r="BA16" s="21">
        <v>0.5923611111111111</v>
      </c>
      <c r="BB16" s="8"/>
      <c r="BC16" s="8"/>
      <c r="BD16" s="8"/>
    </row>
    <row r="17">
      <c r="A17" s="8"/>
      <c r="B17" s="16">
        <v>13.0</v>
      </c>
      <c r="C17" s="16">
        <v>27.5</v>
      </c>
      <c r="D17" s="16">
        <v>27.5</v>
      </c>
      <c r="E17" s="16">
        <v>11.1</v>
      </c>
      <c r="F17" s="16">
        <v>27.5</v>
      </c>
      <c r="G17" s="16">
        <v>12.9</v>
      </c>
      <c r="H17" s="16">
        <v>0.0</v>
      </c>
      <c r="I17" s="16">
        <v>6.7</v>
      </c>
      <c r="J17" s="16">
        <v>27.5</v>
      </c>
      <c r="K17" s="15">
        <f t="shared" si="2"/>
        <v>12</v>
      </c>
      <c r="L17" s="15">
        <v>5.5</v>
      </c>
      <c r="M17" s="21">
        <v>0.6402777777777777</v>
      </c>
      <c r="N17" s="8"/>
      <c r="O17" s="8"/>
      <c r="P17" s="16">
        <v>13.0</v>
      </c>
      <c r="Q17" s="16">
        <v>7.5</v>
      </c>
      <c r="R17" s="16">
        <v>10.0</v>
      </c>
      <c r="S17" s="16">
        <v>4.1</v>
      </c>
      <c r="T17" s="16">
        <v>7.5</v>
      </c>
      <c r="U17" s="8">
        <v>2.3</v>
      </c>
      <c r="V17" s="16">
        <v>0.0</v>
      </c>
      <c r="W17" s="16">
        <f t="shared" si="1"/>
        <v>5</v>
      </c>
      <c r="X17" s="16">
        <v>5.3</v>
      </c>
      <c r="Y17" s="16">
        <v>10.0</v>
      </c>
      <c r="Z17" s="16">
        <v>5.1</v>
      </c>
      <c r="AA17" s="21">
        <v>0.39791666666666664</v>
      </c>
      <c r="AB17" s="8"/>
      <c r="AC17" s="8"/>
      <c r="AD17" s="16">
        <v>13.0</v>
      </c>
      <c r="AE17" s="16">
        <v>7.5</v>
      </c>
      <c r="AF17" s="16">
        <v>-7.5</v>
      </c>
      <c r="AG17" s="16">
        <v>3.6</v>
      </c>
      <c r="AH17" s="16">
        <v>7.5</v>
      </c>
      <c r="AI17" s="16">
        <v>4.5</v>
      </c>
      <c r="AJ17" s="16">
        <v>-0.2</v>
      </c>
      <c r="AK17" s="16">
        <v>-5.2</v>
      </c>
      <c r="AL17" s="16">
        <v>-7.5</v>
      </c>
      <c r="AM17" s="16">
        <v>-4.6</v>
      </c>
      <c r="AN17" s="15" t="s">
        <v>54</v>
      </c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>
      <c r="A18" s="8"/>
      <c r="B18" s="16">
        <v>14.0</v>
      </c>
      <c r="C18" s="16">
        <v>25.0</v>
      </c>
      <c r="D18" s="16">
        <v>25.0</v>
      </c>
      <c r="E18" s="16">
        <v>9.2</v>
      </c>
      <c r="F18" s="16">
        <v>25.0</v>
      </c>
      <c r="G18" s="16">
        <v>11.5</v>
      </c>
      <c r="H18" s="16">
        <v>0.0</v>
      </c>
      <c r="I18" s="16">
        <v>5.2</v>
      </c>
      <c r="J18" s="16">
        <v>25.0</v>
      </c>
      <c r="K18" s="15">
        <f t="shared" si="2"/>
        <v>10.1</v>
      </c>
      <c r="L18" s="15">
        <v>3.6</v>
      </c>
      <c r="M18" s="21">
        <v>0.6430555555555556</v>
      </c>
      <c r="N18" s="8"/>
      <c r="O18" s="8"/>
      <c r="P18" s="16">
        <v>14.0</v>
      </c>
      <c r="Q18" s="16">
        <v>5.0</v>
      </c>
      <c r="R18" s="16">
        <v>7.5</v>
      </c>
      <c r="S18" s="16">
        <v>2.5</v>
      </c>
      <c r="T18" s="16">
        <v>5.0</v>
      </c>
      <c r="U18" s="16">
        <v>1.2</v>
      </c>
      <c r="V18" s="16">
        <v>0.0</v>
      </c>
      <c r="W18" s="16">
        <f t="shared" si="1"/>
        <v>3.6</v>
      </c>
      <c r="X18" s="16">
        <v>3.9</v>
      </c>
      <c r="Y18" s="16">
        <v>7.5</v>
      </c>
      <c r="Z18" s="16">
        <v>3.8</v>
      </c>
      <c r="AA18" s="21">
        <v>0.3993055555555556</v>
      </c>
      <c r="AB18" s="8"/>
      <c r="AC18" s="8"/>
      <c r="AD18" s="16">
        <v>14.0</v>
      </c>
      <c r="AE18" s="16">
        <v>5.0</v>
      </c>
      <c r="AF18" s="16">
        <v>-5.0</v>
      </c>
      <c r="AG18" s="16">
        <v>2.3</v>
      </c>
      <c r="AH18" s="16">
        <v>5.0</v>
      </c>
      <c r="AI18" s="16">
        <v>2.6</v>
      </c>
      <c r="AJ18" s="16">
        <v>-0.1</v>
      </c>
      <c r="AK18" s="16">
        <v>-3.4</v>
      </c>
      <c r="AL18" s="16">
        <v>-5.0</v>
      </c>
      <c r="AM18" s="16">
        <v>-3.4</v>
      </c>
      <c r="AN18" s="15" t="s">
        <v>55</v>
      </c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>
      <c r="A19" s="8"/>
      <c r="B19" s="16">
        <v>15.0</v>
      </c>
      <c r="C19" s="16">
        <v>22.5</v>
      </c>
      <c r="D19" s="16">
        <v>22.5</v>
      </c>
      <c r="E19" s="16">
        <v>7.4</v>
      </c>
      <c r="F19" s="16">
        <v>22.5</v>
      </c>
      <c r="G19" s="16">
        <v>10.7</v>
      </c>
      <c r="H19" s="16">
        <v>0.0</v>
      </c>
      <c r="I19" s="16">
        <v>3.6</v>
      </c>
      <c r="J19" s="16">
        <v>22.5</v>
      </c>
      <c r="K19" s="15">
        <f t="shared" si="2"/>
        <v>8.7</v>
      </c>
      <c r="L19" s="15">
        <v>2.2</v>
      </c>
      <c r="M19" s="21">
        <v>0.6458333333333334</v>
      </c>
      <c r="N19" s="8"/>
      <c r="O19" s="8"/>
      <c r="P19" s="16">
        <v>15.0</v>
      </c>
      <c r="Q19" s="16">
        <v>2.5</v>
      </c>
      <c r="R19" s="16">
        <v>5.0</v>
      </c>
      <c r="S19" s="16">
        <v>0.9</v>
      </c>
      <c r="T19" s="16">
        <v>2.5</v>
      </c>
      <c r="U19" s="16">
        <v>0.0</v>
      </c>
      <c r="V19" s="16">
        <v>0.0</v>
      </c>
      <c r="W19" s="16">
        <f t="shared" si="1"/>
        <v>2.5</v>
      </c>
      <c r="X19" s="16">
        <v>2.8</v>
      </c>
      <c r="Y19" s="16">
        <v>5.0</v>
      </c>
      <c r="Z19" s="16">
        <v>2.1</v>
      </c>
      <c r="AA19" s="21">
        <v>0.40069444444444446</v>
      </c>
      <c r="AB19" s="8"/>
      <c r="AC19" s="8"/>
      <c r="AD19" s="16">
        <v>15.0</v>
      </c>
      <c r="AE19" s="16">
        <v>2.5</v>
      </c>
      <c r="AF19" s="16">
        <v>-2.5</v>
      </c>
      <c r="AG19" s="16">
        <v>0.8</v>
      </c>
      <c r="AH19" s="16">
        <v>2.5</v>
      </c>
      <c r="AI19" s="16">
        <v>1.0</v>
      </c>
      <c r="AJ19" s="16">
        <v>0.0</v>
      </c>
      <c r="AK19" s="16">
        <v>-1.9</v>
      </c>
      <c r="AL19" s="16">
        <v>-2.5</v>
      </c>
      <c r="AM19" s="16">
        <v>-2.0</v>
      </c>
      <c r="AN19" s="15" t="s">
        <v>56</v>
      </c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>
      <c r="A20" s="8"/>
      <c r="B20" s="16">
        <v>16.0</v>
      </c>
      <c r="C20" s="16">
        <v>20.0</v>
      </c>
      <c r="D20" s="16">
        <v>20.0</v>
      </c>
      <c r="E20" s="16">
        <v>6.3</v>
      </c>
      <c r="F20" s="16">
        <v>20.0</v>
      </c>
      <c r="G20" s="16">
        <v>8.5</v>
      </c>
      <c r="H20" s="16">
        <v>0.0</v>
      </c>
      <c r="I20" s="16">
        <v>3.1</v>
      </c>
      <c r="J20" s="16">
        <v>20.0</v>
      </c>
      <c r="K20" s="15">
        <f t="shared" si="2"/>
        <v>6.6</v>
      </c>
      <c r="L20" s="15">
        <v>0.1</v>
      </c>
      <c r="M20" s="21">
        <v>0.6493055555555556</v>
      </c>
      <c r="N20" s="8"/>
      <c r="O20" s="8"/>
      <c r="P20" s="16">
        <v>16.0</v>
      </c>
      <c r="Q20" s="16">
        <v>0.0</v>
      </c>
      <c r="R20" s="16">
        <v>2.5</v>
      </c>
      <c r="S20" s="16">
        <v>-0.4</v>
      </c>
      <c r="T20" s="16">
        <v>0.0</v>
      </c>
      <c r="U20" s="16">
        <v>-1.2</v>
      </c>
      <c r="V20" s="16">
        <v>0.0</v>
      </c>
      <c r="W20" s="16">
        <f t="shared" si="1"/>
        <v>1.2</v>
      </c>
      <c r="X20" s="16">
        <v>1.5</v>
      </c>
      <c r="Y20" s="16">
        <v>2.5</v>
      </c>
      <c r="Z20" s="16">
        <v>0.8</v>
      </c>
      <c r="AA20" s="21">
        <v>0.40208333333333335</v>
      </c>
      <c r="AB20" s="8"/>
      <c r="AC20" s="8"/>
      <c r="AD20" s="16">
        <v>16.0</v>
      </c>
      <c r="AE20" s="16">
        <v>0.0</v>
      </c>
      <c r="AF20" s="16">
        <v>0.0</v>
      </c>
      <c r="AG20" s="16">
        <v>-0.5</v>
      </c>
      <c r="AH20" s="16">
        <v>0.0</v>
      </c>
      <c r="AI20" s="16">
        <v>-0.6</v>
      </c>
      <c r="AJ20" s="16">
        <v>0.0</v>
      </c>
      <c r="AK20" s="16">
        <v>-0.5</v>
      </c>
      <c r="AL20" s="16">
        <v>0.0</v>
      </c>
      <c r="AM20" s="16">
        <v>-0.4</v>
      </c>
      <c r="AN20" s="16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ht="15.75" customHeight="1">
      <c r="A21" s="8"/>
      <c r="B21" s="16">
        <v>17.0</v>
      </c>
      <c r="C21" s="16">
        <v>17.5</v>
      </c>
      <c r="D21" s="16">
        <v>17.5</v>
      </c>
      <c r="E21" s="16">
        <v>0.0</v>
      </c>
      <c r="F21" s="16">
        <v>17.5</v>
      </c>
      <c r="G21" s="16">
        <v>6.7</v>
      </c>
      <c r="H21" s="16">
        <v>0.0</v>
      </c>
      <c r="I21" s="16">
        <v>1.3</v>
      </c>
      <c r="J21" s="16">
        <v>17.5</v>
      </c>
      <c r="K21" s="15">
        <f t="shared" si="2"/>
        <v>5.4</v>
      </c>
      <c r="L21" s="15">
        <v>-1.1</v>
      </c>
      <c r="M21" s="21" t="s">
        <v>57</v>
      </c>
      <c r="N21" s="8"/>
      <c r="O21" s="8"/>
      <c r="P21" s="16">
        <v>17.0</v>
      </c>
      <c r="Q21" s="16">
        <v>0.0</v>
      </c>
      <c r="R21" s="16">
        <v>0.0</v>
      </c>
      <c r="S21" s="16">
        <v>-0.5</v>
      </c>
      <c r="T21" s="16">
        <v>0.0</v>
      </c>
      <c r="U21" s="16">
        <v>-1.0</v>
      </c>
      <c r="V21" s="16">
        <v>0.0</v>
      </c>
      <c r="W21" s="16">
        <f t="shared" si="1"/>
        <v>-0.3</v>
      </c>
      <c r="X21" s="16">
        <v>0.0</v>
      </c>
      <c r="Y21" s="16">
        <v>0.0</v>
      </c>
      <c r="Z21" s="16">
        <v>-0.7</v>
      </c>
      <c r="AA21" s="21">
        <v>0.40347222222222223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 t="s">
        <v>58</v>
      </c>
      <c r="AX21" s="8"/>
      <c r="AY21" s="8"/>
      <c r="AZ21" s="8"/>
      <c r="BA21" s="8"/>
      <c r="BB21" s="8"/>
      <c r="BC21" s="8"/>
      <c r="BD21" s="8"/>
    </row>
    <row r="22" ht="15.75" customHeight="1">
      <c r="A22" s="8"/>
      <c r="B22" s="16">
        <v>18.0</v>
      </c>
      <c r="C22" s="16">
        <v>15.0</v>
      </c>
      <c r="D22" s="16">
        <v>15.0</v>
      </c>
      <c r="E22" s="16">
        <v>-1.5</v>
      </c>
      <c r="F22" s="16">
        <v>15.0</v>
      </c>
      <c r="G22" s="16">
        <v>4.9</v>
      </c>
      <c r="H22" s="16">
        <v>-0.3</v>
      </c>
      <c r="I22" s="16">
        <v>-1.6</v>
      </c>
      <c r="J22" s="16">
        <v>15.0</v>
      </c>
      <c r="K22" s="15">
        <f t="shared" si="2"/>
        <v>2.8</v>
      </c>
      <c r="L22" s="15">
        <v>-3.7</v>
      </c>
      <c r="M22" s="21">
        <v>0.6965277777777777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ht="15.75" customHeight="1">
      <c r="A23" s="8"/>
      <c r="B23" s="16">
        <v>19.0</v>
      </c>
      <c r="C23" s="16">
        <v>12.5</v>
      </c>
      <c r="D23" s="16">
        <v>12.5</v>
      </c>
      <c r="E23" s="16">
        <v>-2.8</v>
      </c>
      <c r="F23" s="16">
        <v>12.5</v>
      </c>
      <c r="G23" s="16">
        <v>3.5</v>
      </c>
      <c r="H23" s="16">
        <v>-0.2</v>
      </c>
      <c r="I23" s="16">
        <v>-2.7</v>
      </c>
      <c r="J23" s="16">
        <v>12.5</v>
      </c>
      <c r="K23" s="15">
        <f t="shared" si="2"/>
        <v>1.1</v>
      </c>
      <c r="L23" s="15">
        <v>-5.4</v>
      </c>
      <c r="M23" s="21">
        <v>0.6986111111111111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ht="15.75" customHeight="1">
      <c r="A24" s="8"/>
      <c r="B24" s="16">
        <v>20.0</v>
      </c>
      <c r="C24" s="16">
        <v>10.0</v>
      </c>
      <c r="D24" s="16">
        <v>10.0</v>
      </c>
      <c r="E24" s="16">
        <v>-4.3</v>
      </c>
      <c r="F24" s="16">
        <v>10.0</v>
      </c>
      <c r="G24" s="16">
        <v>2.3</v>
      </c>
      <c r="H24" s="16">
        <v>-0.3</v>
      </c>
      <c r="I24" s="16">
        <v>-4.1</v>
      </c>
      <c r="J24" s="16">
        <v>10.0</v>
      </c>
      <c r="K24" s="15">
        <f t="shared" si="2"/>
        <v>-0.3</v>
      </c>
      <c r="L24" s="15">
        <v>-6.8</v>
      </c>
      <c r="M24" s="21">
        <v>0.7006944444444444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ht="15.75" customHeight="1">
      <c r="A25" s="8"/>
      <c r="B25" s="16">
        <v>21.0</v>
      </c>
      <c r="C25" s="16">
        <v>7.5</v>
      </c>
      <c r="D25" s="16">
        <v>7.5</v>
      </c>
      <c r="E25" s="16">
        <v>-5.9</v>
      </c>
      <c r="F25" s="16">
        <v>7.5</v>
      </c>
      <c r="G25" s="16">
        <v>1.0</v>
      </c>
      <c r="H25" s="16">
        <v>-0.3</v>
      </c>
      <c r="I25" s="16">
        <v>-5.5</v>
      </c>
      <c r="J25" s="16">
        <v>7.5</v>
      </c>
      <c r="K25" s="15">
        <f t="shared" si="2"/>
        <v>-1.7</v>
      </c>
      <c r="L25" s="15">
        <v>-8.2</v>
      </c>
      <c r="M25" s="21">
        <v>0.7020833333333333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ht="15.75" customHeight="1">
      <c r="A26" s="8"/>
      <c r="B26" s="16">
        <v>22.0</v>
      </c>
      <c r="C26" s="16">
        <v>5.0</v>
      </c>
      <c r="D26" s="16">
        <v>5.0</v>
      </c>
      <c r="E26" s="16">
        <v>-7.5</v>
      </c>
      <c r="F26" s="16">
        <v>5.0</v>
      </c>
      <c r="G26" s="16">
        <v>-0.1</v>
      </c>
      <c r="H26" s="16">
        <v>-0.4</v>
      </c>
      <c r="I26" s="16">
        <v>-6.9</v>
      </c>
      <c r="J26" s="16">
        <v>5.0</v>
      </c>
      <c r="K26" s="15">
        <f t="shared" si="2"/>
        <v>-3.1</v>
      </c>
      <c r="L26" s="15">
        <v>-9.6</v>
      </c>
      <c r="M26" s="21">
        <v>0.7041666666666667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ht="15.75" customHeight="1">
      <c r="A27" s="8"/>
      <c r="B27" s="16">
        <v>23.0</v>
      </c>
      <c r="C27" s="16">
        <v>2.5</v>
      </c>
      <c r="D27" s="16">
        <v>2.5</v>
      </c>
      <c r="E27" s="16">
        <v>-9.0</v>
      </c>
      <c r="F27" s="16">
        <v>2.5</v>
      </c>
      <c r="G27" s="16">
        <v>-1.2</v>
      </c>
      <c r="H27" s="16">
        <v>-0.5</v>
      </c>
      <c r="I27" s="16">
        <v>-8.1</v>
      </c>
      <c r="J27" s="16">
        <v>2.5</v>
      </c>
      <c r="K27" s="15">
        <f t="shared" si="2"/>
        <v>-4.6</v>
      </c>
      <c r="L27" s="15">
        <v>-11.1</v>
      </c>
      <c r="M27" s="21">
        <v>0.7055555555555556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ht="15.75" customHeight="1">
      <c r="A28" s="8"/>
      <c r="B28" s="16">
        <v>24.0</v>
      </c>
      <c r="C28" s="16">
        <v>0.0</v>
      </c>
      <c r="D28" s="16">
        <v>0.0</v>
      </c>
      <c r="E28" s="16">
        <v>-10.4</v>
      </c>
      <c r="F28" s="16">
        <v>0.0</v>
      </c>
      <c r="G28" s="16">
        <v>-2.8</v>
      </c>
      <c r="H28" s="16">
        <v>-0.4</v>
      </c>
      <c r="I28" s="16">
        <v>-9.1</v>
      </c>
      <c r="J28" s="16">
        <v>0.0</v>
      </c>
      <c r="K28" s="15">
        <f t="shared" si="2"/>
        <v>-6.2</v>
      </c>
      <c r="L28" s="15">
        <v>-12.7</v>
      </c>
      <c r="M28" s="21">
        <v>0.7069444444444445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9"/>
      <c r="L29" s="9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9"/>
      <c r="L30" s="9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9"/>
      <c r="L31" s="9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9"/>
      <c r="L32" s="9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9"/>
      <c r="L33" s="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9"/>
      <c r="L34" s="9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9"/>
      <c r="L35" s="9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9"/>
      <c r="L36" s="9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9"/>
      <c r="L37" s="9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9"/>
      <c r="L38" s="9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9"/>
      <c r="L39" s="9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9"/>
      <c r="L40" s="9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9"/>
      <c r="L41" s="9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9"/>
      <c r="L42" s="9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9"/>
      <c r="L43" s="9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9"/>
      <c r="L44" s="9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9"/>
      <c r="L45" s="9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9"/>
      <c r="L46" s="9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9"/>
      <c r="L47" s="9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9"/>
      <c r="L48" s="9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9"/>
      <c r="L49" s="9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9"/>
      <c r="L50" s="9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9"/>
      <c r="L51" s="9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9"/>
      <c r="L52" s="9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9"/>
      <c r="L53" s="9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9"/>
      <c r="L54" s="9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9"/>
      <c r="L55" s="9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9"/>
      <c r="L56" s="9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9"/>
      <c r="L57" s="9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9"/>
      <c r="L58" s="9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9"/>
      <c r="L59" s="9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9"/>
      <c r="L60" s="9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9"/>
      <c r="L61" s="9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9"/>
      <c r="L62" s="9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9"/>
      <c r="L63" s="9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9"/>
      <c r="L64" s="9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9"/>
      <c r="L65" s="9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9"/>
      <c r="L66" s="9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9"/>
      <c r="L67" s="9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9"/>
      <c r="L68" s="9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9"/>
      <c r="L69" s="9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9"/>
      <c r="L70" s="9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9"/>
      <c r="L71" s="9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9"/>
      <c r="L72" s="9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9"/>
      <c r="L73" s="9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9"/>
      <c r="L74" s="9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9"/>
      <c r="L75" s="9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9"/>
      <c r="L76" s="9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9"/>
      <c r="L77" s="9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9"/>
      <c r="L78" s="9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9"/>
      <c r="L79" s="9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9"/>
      <c r="L80" s="9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9"/>
      <c r="L81" s="9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9"/>
      <c r="L82" s="9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9"/>
      <c r="L83" s="9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9"/>
      <c r="L84" s="9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9"/>
      <c r="L85" s="9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9"/>
      <c r="L86" s="9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9"/>
      <c r="L87" s="9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9"/>
      <c r="L88" s="9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9"/>
      <c r="L89" s="9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9"/>
      <c r="L90" s="9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9"/>
      <c r="L91" s="9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9"/>
      <c r="L92" s="9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9"/>
      <c r="L93" s="9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9"/>
      <c r="L94" s="9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9"/>
      <c r="L95" s="9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9"/>
      <c r="L96" s="9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9"/>
      <c r="L97" s="9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9"/>
      <c r="L98" s="9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9"/>
      <c r="L99" s="9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9"/>
      <c r="L100" s="9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9"/>
      <c r="L101" s="9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9"/>
      <c r="L102" s="9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9"/>
      <c r="L103" s="9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9"/>
      <c r="L104" s="9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9"/>
      <c r="L105" s="9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9"/>
      <c r="L106" s="9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9"/>
      <c r="L107" s="9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9"/>
      <c r="L108" s="9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9"/>
      <c r="L109" s="9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9"/>
      <c r="L110" s="9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9"/>
      <c r="L111" s="9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9"/>
      <c r="L112" s="9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9"/>
      <c r="L113" s="9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9"/>
      <c r="L114" s="9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9"/>
      <c r="L115" s="9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9"/>
      <c r="L116" s="9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9"/>
      <c r="L117" s="9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9"/>
      <c r="L118" s="9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9"/>
      <c r="L119" s="9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9"/>
      <c r="L120" s="9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9"/>
      <c r="L121" s="9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9"/>
      <c r="L122" s="9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9"/>
      <c r="L123" s="9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9"/>
      <c r="L124" s="9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9"/>
      <c r="L125" s="9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9"/>
      <c r="L126" s="9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9"/>
      <c r="L127" s="9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9"/>
      <c r="L128" s="9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9"/>
      <c r="L129" s="9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9"/>
      <c r="L130" s="9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9"/>
      <c r="L131" s="9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9"/>
      <c r="L132" s="9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9"/>
      <c r="L133" s="9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9"/>
      <c r="L134" s="9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9"/>
      <c r="L135" s="9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9"/>
      <c r="L136" s="9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9"/>
      <c r="L137" s="9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9"/>
      <c r="L138" s="9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9"/>
      <c r="L139" s="9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9"/>
      <c r="L140" s="9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9"/>
      <c r="L141" s="9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9"/>
      <c r="L142" s="9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9"/>
      <c r="L143" s="9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9"/>
      <c r="L144" s="9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9"/>
      <c r="L145" s="9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9"/>
      <c r="L146" s="9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9"/>
      <c r="L147" s="9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9"/>
      <c r="L148" s="9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9"/>
      <c r="L149" s="9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9"/>
      <c r="L150" s="9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9"/>
      <c r="L151" s="9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9"/>
      <c r="L152" s="9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9"/>
      <c r="L153" s="9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9"/>
      <c r="L154" s="9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9"/>
      <c r="L155" s="9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9"/>
      <c r="L156" s="9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9"/>
      <c r="L157" s="9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9"/>
      <c r="L158" s="9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9"/>
      <c r="L159" s="9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9"/>
      <c r="L160" s="9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9"/>
      <c r="L161" s="9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9"/>
      <c r="L162" s="9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9"/>
      <c r="L163" s="9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9"/>
      <c r="L164" s="9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9"/>
      <c r="L165" s="9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9"/>
      <c r="L166" s="9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9"/>
      <c r="L167" s="9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9"/>
      <c r="L168" s="9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9"/>
      <c r="L169" s="9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9"/>
      <c r="L170" s="9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9"/>
      <c r="L171" s="9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9"/>
      <c r="L172" s="9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9"/>
      <c r="L173" s="9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9"/>
      <c r="L174" s="9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9"/>
      <c r="L175" s="9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9"/>
      <c r="L176" s="9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9"/>
      <c r="L177" s="9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9"/>
      <c r="L178" s="9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9"/>
      <c r="L179" s="9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9"/>
      <c r="L180" s="9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9"/>
      <c r="L181" s="9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9"/>
      <c r="L182" s="9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9"/>
      <c r="L183" s="9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9"/>
      <c r="L184" s="9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9"/>
      <c r="L185" s="9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9"/>
      <c r="L186" s="9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9"/>
      <c r="L187" s="9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9"/>
      <c r="L188" s="9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9"/>
      <c r="L189" s="9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9"/>
      <c r="L190" s="9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9"/>
      <c r="L191" s="9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9"/>
      <c r="L192" s="9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9"/>
      <c r="L193" s="9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9"/>
      <c r="L194" s="9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9"/>
      <c r="L195" s="9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9"/>
      <c r="L196" s="9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9"/>
      <c r="L197" s="9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9"/>
      <c r="L198" s="9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9"/>
      <c r="L199" s="9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9"/>
      <c r="L200" s="9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9"/>
      <c r="L201" s="9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9"/>
      <c r="L202" s="9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9"/>
      <c r="L203" s="9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9"/>
      <c r="L204" s="9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9"/>
      <c r="L205" s="9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9"/>
      <c r="L206" s="9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9"/>
      <c r="L207" s="9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9"/>
      <c r="L208" s="9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9"/>
      <c r="L209" s="9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9"/>
      <c r="L210" s="9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9"/>
      <c r="L211" s="9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9"/>
      <c r="L212" s="9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9"/>
      <c r="L213" s="9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9"/>
      <c r="L214" s="9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9"/>
      <c r="L215" s="9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9"/>
      <c r="L216" s="9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9"/>
      <c r="L217" s="9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9"/>
      <c r="L218" s="9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9"/>
      <c r="L219" s="9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9"/>
      <c r="L220" s="9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9"/>
      <c r="L221" s="9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9"/>
      <c r="L222" s="9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9"/>
      <c r="L223" s="9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9"/>
      <c r="L224" s="9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9"/>
      <c r="L225" s="9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9"/>
      <c r="L226" s="9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9"/>
      <c r="L227" s="9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9"/>
      <c r="L228" s="9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9"/>
      <c r="L229" s="9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9"/>
      <c r="L230" s="9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9"/>
      <c r="L231" s="9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9"/>
      <c r="L232" s="9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9"/>
      <c r="L233" s="9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9"/>
      <c r="L234" s="9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9"/>
      <c r="L235" s="9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9"/>
      <c r="L236" s="9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9"/>
      <c r="L237" s="9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9"/>
      <c r="L238" s="9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9"/>
      <c r="L239" s="9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9"/>
      <c r="L240" s="9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9"/>
      <c r="L241" s="9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9"/>
      <c r="L242" s="9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9"/>
      <c r="L243" s="9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9"/>
      <c r="L244" s="9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9"/>
      <c r="L245" s="9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9"/>
      <c r="L246" s="9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9"/>
      <c r="L247" s="9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9"/>
      <c r="L248" s="9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9"/>
      <c r="L249" s="9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9"/>
      <c r="L250" s="9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9"/>
      <c r="L251" s="9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9"/>
      <c r="L252" s="9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9"/>
      <c r="L253" s="9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9"/>
      <c r="L254" s="9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9"/>
      <c r="L255" s="9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9"/>
      <c r="L256" s="9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9"/>
      <c r="L257" s="9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9"/>
      <c r="L258" s="9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9"/>
      <c r="L259" s="9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9"/>
      <c r="L260" s="9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9"/>
      <c r="L261" s="9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9"/>
      <c r="L262" s="9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9"/>
      <c r="L263" s="9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9"/>
      <c r="L264" s="9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9"/>
      <c r="L265" s="9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9"/>
      <c r="L266" s="9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9"/>
      <c r="L267" s="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9"/>
      <c r="L268" s="9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9"/>
      <c r="L269" s="9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9"/>
      <c r="L270" s="9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9"/>
      <c r="L271" s="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9"/>
      <c r="L272" s="9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9"/>
      <c r="L273" s="9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9"/>
      <c r="L274" s="9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9"/>
      <c r="L275" s="9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9"/>
      <c r="L276" s="9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9"/>
      <c r="L277" s="9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9"/>
      <c r="L278" s="9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9"/>
      <c r="L279" s="9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9"/>
      <c r="L280" s="9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9"/>
      <c r="L281" s="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9"/>
      <c r="L282" s="9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9"/>
      <c r="L283" s="9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9"/>
      <c r="L284" s="9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9"/>
      <c r="L285" s="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9"/>
      <c r="L286" s="9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9"/>
      <c r="L287" s="9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9"/>
      <c r="L288" s="9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9"/>
      <c r="L289" s="9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9"/>
      <c r="L290" s="9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9"/>
      <c r="L291" s="9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9"/>
      <c r="L292" s="9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9"/>
      <c r="L293" s="9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9"/>
      <c r="L294" s="9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9"/>
      <c r="L295" s="9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9"/>
      <c r="L296" s="9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9"/>
      <c r="L297" s="9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9"/>
      <c r="L298" s="9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9"/>
      <c r="L299" s="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9"/>
      <c r="L300" s="9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9"/>
      <c r="L301" s="9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9"/>
      <c r="L302" s="9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9"/>
      <c r="L303" s="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9"/>
      <c r="L304" s="9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9"/>
      <c r="L305" s="9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9"/>
      <c r="L306" s="9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9"/>
      <c r="L307" s="9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9"/>
      <c r="L308" s="9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9"/>
      <c r="L309" s="9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9"/>
      <c r="L310" s="9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9"/>
      <c r="L311" s="9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9"/>
      <c r="L312" s="9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9"/>
      <c r="L313" s="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9"/>
      <c r="L314" s="9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9"/>
      <c r="L315" s="9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9"/>
      <c r="L316" s="9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9"/>
      <c r="L317" s="9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9"/>
      <c r="L318" s="9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9"/>
      <c r="L319" s="9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9"/>
      <c r="L320" s="9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9"/>
      <c r="L321" s="9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9"/>
      <c r="L322" s="9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9"/>
      <c r="L323" s="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9"/>
      <c r="L324" s="9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9"/>
      <c r="L325" s="9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9"/>
      <c r="L326" s="9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9"/>
      <c r="L327" s="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9"/>
      <c r="L328" s="9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9"/>
      <c r="L329" s="9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9"/>
      <c r="L330" s="9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9"/>
      <c r="L331" s="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9"/>
      <c r="L332" s="9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9"/>
      <c r="L333" s="9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9"/>
      <c r="L334" s="9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9"/>
      <c r="L335" s="9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9"/>
      <c r="L336" s="9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9"/>
      <c r="L337" s="9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9"/>
      <c r="L338" s="9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9"/>
      <c r="L339" s="9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9"/>
      <c r="L340" s="9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9"/>
      <c r="L341" s="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9"/>
      <c r="L342" s="9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9"/>
      <c r="L343" s="9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9"/>
      <c r="L344" s="9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9"/>
      <c r="L345" s="9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9"/>
      <c r="L346" s="9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9"/>
      <c r="L347" s="9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9"/>
      <c r="L348" s="9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9"/>
      <c r="L349" s="9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9"/>
      <c r="L350" s="9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9"/>
      <c r="L351" s="9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9"/>
      <c r="L352" s="9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9"/>
      <c r="L353" s="9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9"/>
      <c r="L354" s="9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9"/>
      <c r="L355" s="9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9"/>
      <c r="L356" s="9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9"/>
      <c r="L357" s="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9"/>
      <c r="L358" s="9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9"/>
      <c r="L359" s="9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9"/>
      <c r="L360" s="9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9"/>
      <c r="L361" s="9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9"/>
      <c r="L362" s="9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9"/>
      <c r="L363" s="9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9"/>
      <c r="L364" s="9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9"/>
      <c r="L365" s="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9"/>
      <c r="L366" s="9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9"/>
      <c r="L367" s="9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9"/>
      <c r="L368" s="9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9"/>
      <c r="L369" s="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9"/>
      <c r="L370" s="9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9"/>
      <c r="L371" s="9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9"/>
      <c r="L372" s="9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9"/>
      <c r="L373" s="9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9"/>
      <c r="L374" s="9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9"/>
      <c r="L375" s="9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9"/>
      <c r="L376" s="9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9"/>
      <c r="L377" s="9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9"/>
      <c r="L378" s="9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9"/>
      <c r="L379" s="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9"/>
      <c r="L380" s="9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9"/>
      <c r="L381" s="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9"/>
      <c r="L382" s="9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9"/>
      <c r="L383" s="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9"/>
      <c r="L384" s="9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9"/>
      <c r="L385" s="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9"/>
      <c r="L386" s="9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9"/>
      <c r="L387" s="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9"/>
      <c r="L388" s="9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9"/>
      <c r="L389" s="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9"/>
      <c r="L390" s="9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9"/>
      <c r="L391" s="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9"/>
      <c r="L392" s="9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9"/>
      <c r="L393" s="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9"/>
      <c r="L394" s="9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9"/>
      <c r="L395" s="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9"/>
      <c r="L396" s="9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9"/>
      <c r="L397" s="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9"/>
      <c r="L398" s="9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9"/>
      <c r="L399" s="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9"/>
      <c r="L400" s="9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9"/>
      <c r="L401" s="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9"/>
      <c r="L402" s="9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9"/>
      <c r="L403" s="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9"/>
      <c r="L404" s="9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9"/>
      <c r="L405" s="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9"/>
      <c r="L406" s="9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9"/>
      <c r="L407" s="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9"/>
      <c r="L408" s="9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9"/>
      <c r="L409" s="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9"/>
      <c r="L410" s="9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9"/>
      <c r="L411" s="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9"/>
      <c r="L412" s="9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9"/>
      <c r="L413" s="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9"/>
      <c r="L414" s="9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9"/>
      <c r="L415" s="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9"/>
      <c r="L416" s="9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9"/>
      <c r="L417" s="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9"/>
      <c r="L418" s="9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9"/>
      <c r="L419" s="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9"/>
      <c r="L420" s="9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9"/>
      <c r="L421" s="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9"/>
      <c r="L422" s="9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9"/>
      <c r="L423" s="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9"/>
      <c r="L424" s="9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9"/>
      <c r="L425" s="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9"/>
      <c r="L426" s="9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9"/>
      <c r="L427" s="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9"/>
      <c r="L428" s="9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9"/>
      <c r="L429" s="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9"/>
      <c r="L430" s="9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9"/>
      <c r="L431" s="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9"/>
      <c r="L432" s="9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9"/>
      <c r="L433" s="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9"/>
      <c r="L434" s="9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9"/>
      <c r="L435" s="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9"/>
      <c r="L436" s="9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9"/>
      <c r="L437" s="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9"/>
      <c r="L438" s="9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9"/>
      <c r="L439" s="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9"/>
      <c r="L440" s="9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9"/>
      <c r="L441" s="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9"/>
      <c r="L442" s="9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9"/>
      <c r="L443" s="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9"/>
      <c r="L444" s="9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9"/>
      <c r="L445" s="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9"/>
      <c r="L446" s="9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9"/>
      <c r="L447" s="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9"/>
      <c r="L448" s="9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9"/>
      <c r="L449" s="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9"/>
      <c r="L450" s="9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9"/>
      <c r="L451" s="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9"/>
      <c r="L452" s="9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9"/>
      <c r="L453" s="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9"/>
      <c r="L454" s="9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9"/>
      <c r="L455" s="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9"/>
      <c r="L456" s="9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9"/>
      <c r="L457" s="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9"/>
      <c r="L458" s="9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9"/>
      <c r="L459" s="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9"/>
      <c r="L460" s="9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9"/>
      <c r="L461" s="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9"/>
      <c r="L462" s="9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9"/>
      <c r="L463" s="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9"/>
      <c r="L464" s="9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9"/>
      <c r="L465" s="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9"/>
      <c r="L466" s="9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9"/>
      <c r="L467" s="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9"/>
      <c r="L468" s="9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9"/>
      <c r="L469" s="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9"/>
      <c r="L470" s="9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9"/>
      <c r="L471" s="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9"/>
      <c r="L472" s="9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9"/>
      <c r="L473" s="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9"/>
      <c r="L474" s="9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9"/>
      <c r="L475" s="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9"/>
      <c r="L476" s="9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9"/>
      <c r="L477" s="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9"/>
      <c r="L478" s="9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9"/>
      <c r="L479" s="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9"/>
      <c r="L480" s="9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9"/>
      <c r="L481" s="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9"/>
      <c r="L482" s="9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9"/>
      <c r="L483" s="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9"/>
      <c r="L484" s="9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9"/>
      <c r="L485" s="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9"/>
      <c r="L486" s="9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9"/>
      <c r="L487" s="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9"/>
      <c r="L488" s="9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9"/>
      <c r="L489" s="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9"/>
      <c r="L490" s="9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9"/>
      <c r="L491" s="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9"/>
      <c r="L492" s="9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9"/>
      <c r="L493" s="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9"/>
      <c r="L494" s="9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9"/>
      <c r="L495" s="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9"/>
      <c r="L496" s="9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9"/>
      <c r="L497" s="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9"/>
      <c r="L498" s="9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9"/>
      <c r="L499" s="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9"/>
      <c r="L500" s="9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9"/>
      <c r="L501" s="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9"/>
      <c r="L502" s="9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9"/>
      <c r="L503" s="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9"/>
      <c r="L504" s="9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9"/>
      <c r="L505" s="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9"/>
      <c r="L506" s="9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9"/>
      <c r="L507" s="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9"/>
      <c r="L508" s="9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9"/>
      <c r="L509" s="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9"/>
      <c r="L510" s="9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9"/>
      <c r="L511" s="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9"/>
      <c r="L512" s="9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9"/>
      <c r="L513" s="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9"/>
      <c r="L514" s="9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9"/>
      <c r="L515" s="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9"/>
      <c r="L516" s="9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9"/>
      <c r="L517" s="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9"/>
      <c r="L518" s="9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9"/>
      <c r="L519" s="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9"/>
      <c r="L520" s="9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9"/>
      <c r="L521" s="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9"/>
      <c r="L522" s="9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9"/>
      <c r="L523" s="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9"/>
      <c r="L524" s="9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9"/>
      <c r="L525" s="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9"/>
      <c r="L526" s="9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9"/>
      <c r="L527" s="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9"/>
      <c r="L528" s="9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9"/>
      <c r="L529" s="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9"/>
      <c r="L530" s="9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9"/>
      <c r="L531" s="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9"/>
      <c r="L532" s="9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9"/>
      <c r="L533" s="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9"/>
      <c r="L534" s="9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9"/>
      <c r="L535" s="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9"/>
      <c r="L536" s="9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9"/>
      <c r="L537" s="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9"/>
      <c r="L538" s="9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9"/>
      <c r="L539" s="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9"/>
      <c r="L540" s="9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9"/>
      <c r="L541" s="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9"/>
      <c r="L542" s="9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9"/>
      <c r="L543" s="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9"/>
      <c r="L544" s="9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9"/>
      <c r="L545" s="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9"/>
      <c r="L546" s="9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9"/>
      <c r="L547" s="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9"/>
      <c r="L548" s="9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9"/>
      <c r="L549" s="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9"/>
      <c r="L550" s="9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9"/>
      <c r="L551" s="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9"/>
      <c r="L552" s="9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9"/>
      <c r="L553" s="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9"/>
      <c r="L554" s="9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9"/>
      <c r="L555" s="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9"/>
      <c r="L556" s="9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9"/>
      <c r="L557" s="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9"/>
      <c r="L558" s="9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9"/>
      <c r="L559" s="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9"/>
      <c r="L560" s="9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9"/>
      <c r="L561" s="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9"/>
      <c r="L562" s="9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9"/>
      <c r="L563" s="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9"/>
      <c r="L564" s="9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9"/>
      <c r="L565" s="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9"/>
      <c r="L566" s="9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9"/>
      <c r="L567" s="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9"/>
      <c r="L568" s="9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9"/>
      <c r="L569" s="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9"/>
      <c r="L570" s="9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9"/>
      <c r="L571" s="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9"/>
      <c r="L572" s="9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9"/>
      <c r="L573" s="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9"/>
      <c r="L574" s="9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9"/>
      <c r="L575" s="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9"/>
      <c r="L576" s="9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9"/>
      <c r="L577" s="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9"/>
      <c r="L578" s="9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9"/>
      <c r="L579" s="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9"/>
      <c r="L580" s="9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9"/>
      <c r="L581" s="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9"/>
      <c r="L582" s="9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9"/>
      <c r="L583" s="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9"/>
      <c r="L584" s="9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9"/>
      <c r="L585" s="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9"/>
      <c r="L586" s="9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9"/>
      <c r="L587" s="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9"/>
      <c r="L588" s="9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9"/>
      <c r="L589" s="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9"/>
      <c r="L590" s="9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9"/>
      <c r="L591" s="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9"/>
      <c r="L592" s="9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9"/>
      <c r="L593" s="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9"/>
      <c r="L594" s="9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9"/>
      <c r="L595" s="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9"/>
      <c r="L596" s="9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9"/>
      <c r="L597" s="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9"/>
      <c r="L598" s="9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9"/>
      <c r="L599" s="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9"/>
      <c r="L600" s="9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9"/>
      <c r="L601" s="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9"/>
      <c r="L602" s="9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9"/>
      <c r="L603" s="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9"/>
      <c r="L604" s="9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9"/>
      <c r="L605" s="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9"/>
      <c r="L606" s="9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9"/>
      <c r="L607" s="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9"/>
      <c r="L608" s="9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9"/>
      <c r="L609" s="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9"/>
      <c r="L610" s="9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9"/>
      <c r="L611" s="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9"/>
      <c r="L612" s="9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9"/>
      <c r="L613" s="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9"/>
      <c r="L614" s="9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9"/>
      <c r="L615" s="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9"/>
      <c r="L616" s="9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9"/>
      <c r="L617" s="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9"/>
      <c r="L618" s="9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9"/>
      <c r="L619" s="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9"/>
      <c r="L620" s="9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9"/>
      <c r="L621" s="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9"/>
      <c r="L622" s="9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9"/>
      <c r="L623" s="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9"/>
      <c r="L624" s="9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9"/>
      <c r="L625" s="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9"/>
      <c r="L626" s="9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9"/>
      <c r="L627" s="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9"/>
      <c r="L628" s="9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9"/>
      <c r="L629" s="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9"/>
      <c r="L630" s="9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9"/>
      <c r="L631" s="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9"/>
      <c r="L632" s="9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9"/>
      <c r="L633" s="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9"/>
      <c r="L634" s="9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9"/>
      <c r="L635" s="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9"/>
      <c r="L636" s="9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9"/>
      <c r="L637" s="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9"/>
      <c r="L638" s="9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9"/>
      <c r="L639" s="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9"/>
      <c r="L640" s="9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9"/>
      <c r="L641" s="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9"/>
      <c r="L642" s="9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9"/>
      <c r="L643" s="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9"/>
      <c r="L644" s="9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9"/>
      <c r="L645" s="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9"/>
      <c r="L646" s="9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9"/>
      <c r="L647" s="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9"/>
      <c r="L648" s="9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9"/>
      <c r="L649" s="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9"/>
      <c r="L650" s="9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9"/>
      <c r="L651" s="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9"/>
      <c r="L652" s="9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9"/>
      <c r="L653" s="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9"/>
      <c r="L654" s="9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9"/>
      <c r="L655" s="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9"/>
      <c r="L656" s="9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9"/>
      <c r="L657" s="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9"/>
      <c r="L658" s="9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9"/>
      <c r="L659" s="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9"/>
      <c r="L660" s="9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9"/>
      <c r="L661" s="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9"/>
      <c r="L662" s="9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9"/>
      <c r="L663" s="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9"/>
      <c r="L664" s="9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9"/>
      <c r="L665" s="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9"/>
      <c r="L666" s="9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9"/>
      <c r="L667" s="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9"/>
      <c r="L668" s="9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9"/>
      <c r="L669" s="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9"/>
      <c r="L670" s="9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9"/>
      <c r="L671" s="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9"/>
      <c r="L672" s="9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9"/>
      <c r="L673" s="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9"/>
      <c r="L674" s="9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9"/>
      <c r="L675" s="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9"/>
      <c r="L676" s="9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9"/>
      <c r="L677" s="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9"/>
      <c r="L678" s="9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9"/>
      <c r="L679" s="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9"/>
      <c r="L680" s="9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9"/>
      <c r="L681" s="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9"/>
      <c r="L682" s="9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9"/>
      <c r="L683" s="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9"/>
      <c r="L684" s="9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9"/>
      <c r="L685" s="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9"/>
      <c r="L686" s="9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9"/>
      <c r="L687" s="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9"/>
      <c r="L688" s="9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9"/>
      <c r="L689" s="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9"/>
      <c r="L690" s="9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9"/>
      <c r="L691" s="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9"/>
      <c r="L692" s="9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9"/>
      <c r="L693" s="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9"/>
      <c r="L694" s="9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9"/>
      <c r="L695" s="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9"/>
      <c r="L696" s="9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9"/>
      <c r="L697" s="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9"/>
      <c r="L698" s="9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9"/>
      <c r="L699" s="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9"/>
      <c r="L700" s="9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9"/>
      <c r="L701" s="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9"/>
      <c r="L702" s="9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9"/>
      <c r="L703" s="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9"/>
      <c r="L704" s="9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9"/>
      <c r="L705" s="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9"/>
      <c r="L706" s="9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9"/>
      <c r="L707" s="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9"/>
      <c r="L708" s="9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9"/>
      <c r="L709" s="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9"/>
      <c r="L710" s="9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9"/>
      <c r="L711" s="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9"/>
      <c r="L712" s="9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9"/>
      <c r="L713" s="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9"/>
      <c r="L714" s="9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9"/>
      <c r="L715" s="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9"/>
      <c r="L716" s="9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9"/>
      <c r="L717" s="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9"/>
      <c r="L718" s="9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9"/>
      <c r="L719" s="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9"/>
      <c r="L720" s="9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9"/>
      <c r="L721" s="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9"/>
      <c r="L722" s="9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9"/>
      <c r="L723" s="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9"/>
      <c r="L724" s="9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9"/>
      <c r="L725" s="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9"/>
      <c r="L726" s="9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9"/>
      <c r="L727" s="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9"/>
      <c r="L728" s="9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9"/>
      <c r="L729" s="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9"/>
      <c r="L730" s="9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9"/>
      <c r="L731" s="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9"/>
      <c r="L732" s="9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9"/>
      <c r="L733" s="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9"/>
      <c r="L734" s="9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9"/>
      <c r="L735" s="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9"/>
      <c r="L736" s="9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9"/>
      <c r="L737" s="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9"/>
      <c r="L738" s="9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9"/>
      <c r="L739" s="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9"/>
      <c r="L740" s="9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9"/>
      <c r="L741" s="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9"/>
      <c r="L742" s="9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9"/>
      <c r="L743" s="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9"/>
      <c r="L744" s="9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9"/>
      <c r="L745" s="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9"/>
      <c r="L746" s="9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9"/>
      <c r="L747" s="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9"/>
      <c r="L748" s="9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9"/>
      <c r="L749" s="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9"/>
      <c r="L750" s="9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9"/>
      <c r="L751" s="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9"/>
      <c r="L752" s="9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9"/>
      <c r="L753" s="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9"/>
      <c r="L754" s="9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9"/>
      <c r="L755" s="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9"/>
      <c r="L756" s="9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9"/>
      <c r="L757" s="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9"/>
      <c r="L758" s="9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9"/>
      <c r="L759" s="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9"/>
      <c r="L760" s="9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9"/>
      <c r="L761" s="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9"/>
      <c r="L762" s="9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9"/>
      <c r="L763" s="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9"/>
      <c r="L764" s="9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9"/>
      <c r="L765" s="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9"/>
      <c r="L766" s="9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9"/>
      <c r="L767" s="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9"/>
      <c r="L768" s="9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9"/>
      <c r="L769" s="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9"/>
      <c r="L770" s="9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9"/>
      <c r="L771" s="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9"/>
      <c r="L772" s="9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9"/>
      <c r="L773" s="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9"/>
      <c r="L774" s="9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9"/>
      <c r="L775" s="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9"/>
      <c r="L776" s="9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9"/>
      <c r="L777" s="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9"/>
      <c r="L778" s="9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9"/>
      <c r="L779" s="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9"/>
      <c r="L780" s="9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9"/>
      <c r="L781" s="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9"/>
      <c r="L782" s="9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9"/>
      <c r="L783" s="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9"/>
      <c r="L784" s="9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9"/>
      <c r="L785" s="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9"/>
      <c r="L786" s="9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9"/>
      <c r="L787" s="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9"/>
      <c r="L788" s="9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9"/>
      <c r="L789" s="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9"/>
      <c r="L790" s="9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9"/>
      <c r="L791" s="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9"/>
      <c r="L792" s="9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9"/>
      <c r="L793" s="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9"/>
      <c r="L794" s="9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9"/>
      <c r="L795" s="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9"/>
      <c r="L796" s="9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9"/>
      <c r="L797" s="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9"/>
      <c r="L798" s="9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9"/>
      <c r="L799" s="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9"/>
      <c r="L800" s="9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9"/>
      <c r="L801" s="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9"/>
      <c r="L802" s="9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9"/>
      <c r="L803" s="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9"/>
      <c r="L804" s="9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9"/>
      <c r="L805" s="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9"/>
      <c r="L806" s="9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9"/>
      <c r="L807" s="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9"/>
      <c r="L808" s="9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9"/>
      <c r="L809" s="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9"/>
      <c r="L810" s="9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9"/>
      <c r="L811" s="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9"/>
      <c r="L812" s="9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9"/>
      <c r="L813" s="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9"/>
      <c r="L814" s="9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9"/>
      <c r="L815" s="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9"/>
      <c r="L816" s="9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9"/>
      <c r="L817" s="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9"/>
      <c r="L818" s="9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9"/>
      <c r="L819" s="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9"/>
      <c r="L820" s="9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9"/>
      <c r="L821" s="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9"/>
      <c r="L822" s="9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9"/>
      <c r="L823" s="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9"/>
      <c r="L824" s="9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9"/>
      <c r="L825" s="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9"/>
      <c r="L826" s="9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9"/>
      <c r="L827" s="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9"/>
      <c r="L828" s="9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9"/>
      <c r="L829" s="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9"/>
      <c r="L830" s="9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9"/>
      <c r="L831" s="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9"/>
      <c r="L832" s="9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9"/>
      <c r="L833" s="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9"/>
      <c r="L834" s="9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9"/>
      <c r="L835" s="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9"/>
      <c r="L836" s="9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9"/>
      <c r="L837" s="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9"/>
      <c r="L838" s="9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9"/>
      <c r="L839" s="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9"/>
      <c r="L840" s="9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9"/>
      <c r="L841" s="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9"/>
      <c r="L842" s="9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9"/>
      <c r="L843" s="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9"/>
      <c r="L844" s="9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9"/>
      <c r="L845" s="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9"/>
      <c r="L846" s="9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9"/>
      <c r="L847" s="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9"/>
      <c r="L848" s="9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9"/>
      <c r="L849" s="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9"/>
      <c r="L850" s="9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9"/>
      <c r="L851" s="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9"/>
      <c r="L852" s="9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9"/>
      <c r="L853" s="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9"/>
      <c r="L854" s="9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9"/>
      <c r="L855" s="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9"/>
      <c r="L856" s="9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9"/>
      <c r="L857" s="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9"/>
      <c r="L858" s="9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9"/>
      <c r="L859" s="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9"/>
      <c r="L860" s="9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9"/>
      <c r="L861" s="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9"/>
      <c r="L862" s="9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9"/>
      <c r="L863" s="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9"/>
      <c r="L864" s="9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9"/>
      <c r="L865" s="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9"/>
      <c r="L866" s="9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9"/>
      <c r="L867" s="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9"/>
      <c r="L868" s="9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9"/>
      <c r="L869" s="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9"/>
      <c r="L870" s="9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9"/>
      <c r="L871" s="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9"/>
      <c r="L872" s="9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9"/>
      <c r="L873" s="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9"/>
      <c r="L874" s="9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9"/>
      <c r="L875" s="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9"/>
      <c r="L876" s="9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9"/>
      <c r="L877" s="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9"/>
      <c r="L878" s="9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9"/>
      <c r="L879" s="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9"/>
      <c r="L880" s="9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9"/>
      <c r="L881" s="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9"/>
      <c r="L882" s="9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9"/>
      <c r="L883" s="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9"/>
      <c r="L884" s="9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9"/>
      <c r="L885" s="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9"/>
      <c r="L886" s="9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9"/>
      <c r="L887" s="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9"/>
      <c r="L888" s="9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9"/>
      <c r="L889" s="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9"/>
      <c r="L890" s="9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9"/>
      <c r="L891" s="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9"/>
      <c r="L892" s="9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9"/>
      <c r="L893" s="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9"/>
      <c r="L894" s="9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9"/>
      <c r="L895" s="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9"/>
      <c r="L896" s="9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9"/>
      <c r="L897" s="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9"/>
      <c r="L898" s="9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9"/>
      <c r="L899" s="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9"/>
      <c r="L900" s="9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9"/>
      <c r="L901" s="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9"/>
      <c r="L902" s="9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9"/>
      <c r="L903" s="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9"/>
      <c r="L904" s="9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9"/>
      <c r="L905" s="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9"/>
      <c r="L906" s="9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9"/>
      <c r="L907" s="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9"/>
      <c r="L908" s="9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9"/>
      <c r="L909" s="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9"/>
      <c r="L910" s="9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9"/>
      <c r="L911" s="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9"/>
      <c r="L912" s="9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9"/>
      <c r="L913" s="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9"/>
      <c r="L914" s="9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9"/>
      <c r="L915" s="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9"/>
      <c r="L916" s="9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9"/>
      <c r="L917" s="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9"/>
      <c r="L918" s="9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9"/>
      <c r="L919" s="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9"/>
      <c r="L920" s="9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9"/>
      <c r="L921" s="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9"/>
      <c r="L922" s="9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9"/>
      <c r="L923" s="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9"/>
      <c r="L924" s="9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9"/>
      <c r="L925" s="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9"/>
      <c r="L926" s="9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9"/>
      <c r="L927" s="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9"/>
      <c r="L928" s="9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9"/>
      <c r="L929" s="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9"/>
      <c r="L930" s="9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9"/>
      <c r="L931" s="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9"/>
      <c r="L932" s="9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9"/>
      <c r="L933" s="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9"/>
      <c r="L934" s="9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9"/>
      <c r="L935" s="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9"/>
      <c r="L936" s="9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9"/>
      <c r="L937" s="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9"/>
      <c r="L938" s="9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9"/>
      <c r="L939" s="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9"/>
      <c r="L940" s="9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9"/>
      <c r="L941" s="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9"/>
      <c r="L942" s="9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9"/>
      <c r="L943" s="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9"/>
      <c r="L944" s="9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9"/>
      <c r="L945" s="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9"/>
      <c r="L946" s="9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9"/>
      <c r="L947" s="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9"/>
      <c r="L948" s="9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9"/>
      <c r="L949" s="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9"/>
      <c r="L950" s="9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9"/>
      <c r="L951" s="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9"/>
      <c r="L952" s="9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9"/>
      <c r="L953" s="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9"/>
      <c r="L954" s="9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9"/>
      <c r="L955" s="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9"/>
      <c r="L956" s="9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9"/>
      <c r="L957" s="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9"/>
      <c r="L958" s="9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9"/>
      <c r="L959" s="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9"/>
      <c r="L960" s="9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9"/>
      <c r="L961" s="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9"/>
      <c r="L962" s="9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9"/>
      <c r="L963" s="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9"/>
      <c r="L964" s="9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9"/>
      <c r="L965" s="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9"/>
      <c r="L966" s="9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9"/>
      <c r="L967" s="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9"/>
      <c r="L968" s="9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9"/>
      <c r="L969" s="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9"/>
      <c r="L970" s="9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9"/>
      <c r="L971" s="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9"/>
      <c r="L972" s="9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9"/>
      <c r="L973" s="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9"/>
      <c r="L974" s="9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9"/>
      <c r="L975" s="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9"/>
      <c r="L976" s="9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9"/>
      <c r="L977" s="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9"/>
      <c r="L978" s="9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9"/>
      <c r="L979" s="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9"/>
      <c r="L980" s="9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9"/>
      <c r="L981" s="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9"/>
      <c r="L982" s="9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9"/>
      <c r="L983" s="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9"/>
      <c r="L984" s="9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9"/>
      <c r="L985" s="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9"/>
      <c r="L986" s="9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9"/>
      <c r="L987" s="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9"/>
      <c r="L988" s="9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9"/>
      <c r="L989" s="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9"/>
      <c r="L990" s="9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9"/>
      <c r="L991" s="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9"/>
      <c r="L992" s="9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9"/>
      <c r="L993" s="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9"/>
      <c r="L994" s="9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9"/>
      <c r="L995" s="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9"/>
      <c r="L996" s="9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9"/>
      <c r="L997" s="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9"/>
      <c r="L998" s="9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9"/>
      <c r="L999" s="9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9"/>
      <c r="L1000" s="9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</row>
  </sheetData>
  <printOptions horizontalCentered="1"/>
  <pageMargins bottom="0.7480314960629921" footer="0.0" header="0.0" left="0.7086614173228347" right="0.7086614173228347" top="0.7480314960629921"/>
  <pageSetup paperSize="9" orientation="landscape"/>
  <colBreaks count="3" manualBreakCount="3">
    <brk id="41" man="1"/>
    <brk id="28" man="1"/>
    <brk id="14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